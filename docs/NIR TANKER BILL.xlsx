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45" windowWidth="19875" windowHeight="77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Sheet1!$A$143:$R$176</definedName>
  </definedNames>
  <calcPr calcId="124519"/>
</workbook>
</file>

<file path=xl/calcChain.xml><?xml version="1.0" encoding="utf-8"?>
<calcChain xmlns="http://schemas.openxmlformats.org/spreadsheetml/2006/main">
  <c r="L248" i="1"/>
  <c r="L247"/>
  <c r="L246"/>
  <c r="L245"/>
  <c r="L244"/>
  <c r="L243"/>
  <c r="L242"/>
  <c r="L241"/>
  <c r="L240"/>
  <c r="L239"/>
  <c r="L238"/>
  <c r="L237"/>
  <c r="L236"/>
  <c r="L235"/>
  <c r="L234"/>
  <c r="L233"/>
  <c r="L232"/>
  <c r="L231"/>
  <c r="L230"/>
  <c r="L229"/>
  <c r="L228"/>
  <c r="L227"/>
  <c r="L226"/>
  <c r="L225"/>
  <c r="L224"/>
  <c r="L223"/>
  <c r="L222"/>
  <c r="L221"/>
  <c r="L147"/>
  <c r="L145"/>
  <c r="L103"/>
  <c r="L102"/>
  <c r="L101"/>
  <c r="L100"/>
  <c r="L99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L9"/>
  <c r="L8"/>
  <c r="L7"/>
  <c r="K87"/>
  <c r="H87"/>
  <c r="J87" s="1"/>
  <c r="K86"/>
  <c r="H86"/>
  <c r="J86" s="1"/>
  <c r="K85"/>
  <c r="H85"/>
  <c r="J85" s="1"/>
  <c r="K84"/>
  <c r="H84"/>
  <c r="J84" s="1"/>
  <c r="F174"/>
  <c r="E174"/>
  <c r="K173"/>
  <c r="H173"/>
  <c r="J173" s="1"/>
  <c r="M173" s="1"/>
  <c r="K172"/>
  <c r="H172"/>
  <c r="J172" s="1"/>
  <c r="K171"/>
  <c r="H171"/>
  <c r="J171" s="1"/>
  <c r="M171" s="1"/>
  <c r="H170"/>
  <c r="J170" s="1"/>
  <c r="K170"/>
  <c r="H169"/>
  <c r="J169" s="1"/>
  <c r="K169"/>
  <c r="K168"/>
  <c r="H168"/>
  <c r="J168" s="1"/>
  <c r="K167"/>
  <c r="H167"/>
  <c r="J167" s="1"/>
  <c r="K166"/>
  <c r="H166"/>
  <c r="J166" s="1"/>
  <c r="K165"/>
  <c r="H165"/>
  <c r="J165" s="1"/>
  <c r="M165" s="1"/>
  <c r="K164"/>
  <c r="H164"/>
  <c r="J164" s="1"/>
  <c r="K163"/>
  <c r="H163"/>
  <c r="J163" s="1"/>
  <c r="M163" s="1"/>
  <c r="K162"/>
  <c r="H162"/>
  <c r="J162" s="1"/>
  <c r="K161"/>
  <c r="H161"/>
  <c r="J161" s="1"/>
  <c r="M161" s="1"/>
  <c r="K160"/>
  <c r="H160"/>
  <c r="J160" s="1"/>
  <c r="K159"/>
  <c r="H159"/>
  <c r="J159" s="1"/>
  <c r="M159" s="1"/>
  <c r="K158"/>
  <c r="H158"/>
  <c r="J158" s="1"/>
  <c r="K157"/>
  <c r="H157"/>
  <c r="J157" s="1"/>
  <c r="M157" s="1"/>
  <c r="K156"/>
  <c r="H156"/>
  <c r="J156" s="1"/>
  <c r="K155"/>
  <c r="H155"/>
  <c r="J155" s="1"/>
  <c r="M155" s="1"/>
  <c r="K154"/>
  <c r="H154"/>
  <c r="J154" s="1"/>
  <c r="K153"/>
  <c r="H153"/>
  <c r="J153" s="1"/>
  <c r="M153" s="1"/>
  <c r="K152"/>
  <c r="H152"/>
  <c r="J152" s="1"/>
  <c r="K151"/>
  <c r="H151"/>
  <c r="J151" s="1"/>
  <c r="M151" s="1"/>
  <c r="K150"/>
  <c r="H150"/>
  <c r="J150" s="1"/>
  <c r="K149"/>
  <c r="H149"/>
  <c r="J149" s="1"/>
  <c r="M149" s="1"/>
  <c r="K148"/>
  <c r="H148"/>
  <c r="J148" s="1"/>
  <c r="K147"/>
  <c r="H147"/>
  <c r="J147" s="1"/>
  <c r="K146"/>
  <c r="H146"/>
  <c r="J146" s="1"/>
  <c r="K145"/>
  <c r="H145"/>
  <c r="J145" s="1"/>
  <c r="K144"/>
  <c r="H144"/>
  <c r="J144" s="1"/>
  <c r="L89"/>
  <c r="F89"/>
  <c r="E89"/>
  <c r="K82"/>
  <c r="H82"/>
  <c r="J82" s="1"/>
  <c r="K81"/>
  <c r="H81"/>
  <c r="J81" s="1"/>
  <c r="K80"/>
  <c r="H80"/>
  <c r="J80" s="1"/>
  <c r="K79"/>
  <c r="H79"/>
  <c r="J79" s="1"/>
  <c r="K78"/>
  <c r="H78"/>
  <c r="J78" s="1"/>
  <c r="K77"/>
  <c r="H77"/>
  <c r="J77" s="1"/>
  <c r="K76"/>
  <c r="H76"/>
  <c r="J76" s="1"/>
  <c r="K75"/>
  <c r="H75"/>
  <c r="J75" s="1"/>
  <c r="K74"/>
  <c r="H74"/>
  <c r="J74" s="1"/>
  <c r="K73"/>
  <c r="H73"/>
  <c r="J73" s="1"/>
  <c r="K72"/>
  <c r="H72"/>
  <c r="J72" s="1"/>
  <c r="K71"/>
  <c r="H71"/>
  <c r="J71" s="1"/>
  <c r="K70"/>
  <c r="H70"/>
  <c r="J70" s="1"/>
  <c r="K69"/>
  <c r="H69"/>
  <c r="J69" s="1"/>
  <c r="K68"/>
  <c r="H68"/>
  <c r="J68" s="1"/>
  <c r="K67"/>
  <c r="H67"/>
  <c r="J67" s="1"/>
  <c r="K66"/>
  <c r="H66"/>
  <c r="J66" s="1"/>
  <c r="K65"/>
  <c r="H65"/>
  <c r="J65" s="1"/>
  <c r="K64"/>
  <c r="H64"/>
  <c r="J64" s="1"/>
  <c r="K63"/>
  <c r="H63"/>
  <c r="J63" s="1"/>
  <c r="K62"/>
  <c r="H62"/>
  <c r="J62" s="1"/>
  <c r="K61"/>
  <c r="H61"/>
  <c r="J61" s="1"/>
  <c r="K60"/>
  <c r="H60"/>
  <c r="J60" s="1"/>
  <c r="K59"/>
  <c r="H59"/>
  <c r="J59" s="1"/>
  <c r="K58"/>
  <c r="H58"/>
  <c r="J58" s="1"/>
  <c r="K57"/>
  <c r="H57"/>
  <c r="J57" s="1"/>
  <c r="K56"/>
  <c r="H56"/>
  <c r="J56" s="1"/>
  <c r="K55"/>
  <c r="H55"/>
  <c r="J55" s="1"/>
  <c r="K54"/>
  <c r="H54"/>
  <c r="J54" s="1"/>
  <c r="M84" l="1"/>
  <c r="M86"/>
  <c r="M85"/>
  <c r="M87"/>
  <c r="M146"/>
  <c r="M150"/>
  <c r="M152"/>
  <c r="M154"/>
  <c r="M156"/>
  <c r="M148"/>
  <c r="K174"/>
  <c r="M169"/>
  <c r="J174"/>
  <c r="H174"/>
  <c r="M158"/>
  <c r="M160"/>
  <c r="M162"/>
  <c r="M164"/>
  <c r="M166"/>
  <c r="M168"/>
  <c r="M167"/>
  <c r="M172"/>
  <c r="M147"/>
  <c r="M144"/>
  <c r="L174"/>
  <c r="M145"/>
  <c r="M170"/>
  <c r="M55"/>
  <c r="M57"/>
  <c r="M59"/>
  <c r="M61"/>
  <c r="M63"/>
  <c r="M65"/>
  <c r="M67"/>
  <c r="M69"/>
  <c r="M71"/>
  <c r="M73"/>
  <c r="M75"/>
  <c r="M77"/>
  <c r="M79"/>
  <c r="M81"/>
  <c r="M56"/>
  <c r="M58"/>
  <c r="M60"/>
  <c r="M62"/>
  <c r="M64"/>
  <c r="M66"/>
  <c r="M68"/>
  <c r="M70"/>
  <c r="M72"/>
  <c r="M74"/>
  <c r="M76"/>
  <c r="M78"/>
  <c r="M80"/>
  <c r="M82"/>
  <c r="M54"/>
  <c r="M174" l="1"/>
  <c r="K29"/>
  <c r="H29"/>
  <c r="J29" s="1"/>
  <c r="K28"/>
  <c r="H28"/>
  <c r="J28" s="1"/>
  <c r="K27"/>
  <c r="H27"/>
  <c r="J27" s="1"/>
  <c r="K26"/>
  <c r="H26"/>
  <c r="J26" s="1"/>
  <c r="K25"/>
  <c r="H25"/>
  <c r="J25" s="1"/>
  <c r="K24"/>
  <c r="H24"/>
  <c r="J24" s="1"/>
  <c r="K23"/>
  <c r="H23"/>
  <c r="J23" s="1"/>
  <c r="K22"/>
  <c r="H22"/>
  <c r="J22" s="1"/>
  <c r="K21"/>
  <c r="H21"/>
  <c r="J21" s="1"/>
  <c r="K20"/>
  <c r="H20"/>
  <c r="J20" s="1"/>
  <c r="K19"/>
  <c r="H19"/>
  <c r="J19" s="1"/>
  <c r="K18"/>
  <c r="H18"/>
  <c r="J18" s="1"/>
  <c r="K17"/>
  <c r="H17"/>
  <c r="J17" s="1"/>
  <c r="K16"/>
  <c r="H16"/>
  <c r="J16" s="1"/>
  <c r="K15"/>
  <c r="H15"/>
  <c r="J15" s="1"/>
  <c r="M16" l="1"/>
  <c r="M22"/>
  <c r="M18"/>
  <c r="M20"/>
  <c r="M24"/>
  <c r="M26"/>
  <c r="M28"/>
  <c r="M17"/>
  <c r="M21"/>
  <c r="M23"/>
  <c r="M27"/>
  <c r="M29"/>
  <c r="M15"/>
  <c r="M19"/>
  <c r="M25"/>
  <c r="K88"/>
  <c r="H88"/>
  <c r="J88" s="1"/>
  <c r="K83"/>
  <c r="H83"/>
  <c r="K89" l="1"/>
  <c r="J83"/>
  <c r="J89" s="1"/>
  <c r="H89"/>
  <c r="M88"/>
  <c r="K99"/>
  <c r="H99"/>
  <c r="J99" s="1"/>
  <c r="H213"/>
  <c r="J213" s="1"/>
  <c r="K213"/>
  <c r="H214"/>
  <c r="J214" s="1"/>
  <c r="K214"/>
  <c r="H215"/>
  <c r="J215" s="1"/>
  <c r="K215"/>
  <c r="H216"/>
  <c r="J216" s="1"/>
  <c r="K216"/>
  <c r="H217"/>
  <c r="J217" s="1"/>
  <c r="K217"/>
  <c r="H218"/>
  <c r="J218" s="1"/>
  <c r="K218"/>
  <c r="H219"/>
  <c r="J219" s="1"/>
  <c r="K219"/>
  <c r="H220"/>
  <c r="J220" s="1"/>
  <c r="K220"/>
  <c r="H221"/>
  <c r="J221" s="1"/>
  <c r="K221"/>
  <c r="H222"/>
  <c r="J222" s="1"/>
  <c r="K222"/>
  <c r="H223"/>
  <c r="J223" s="1"/>
  <c r="K223"/>
  <c r="H224"/>
  <c r="J224" s="1"/>
  <c r="K224"/>
  <c r="H225"/>
  <c r="J225" s="1"/>
  <c r="K225"/>
  <c r="H226"/>
  <c r="J226" s="1"/>
  <c r="K226"/>
  <c r="H227"/>
  <c r="J227" s="1"/>
  <c r="K227"/>
  <c r="H228"/>
  <c r="J228" s="1"/>
  <c r="K228"/>
  <c r="H229"/>
  <c r="J229" s="1"/>
  <c r="K229"/>
  <c r="H230"/>
  <c r="J230" s="1"/>
  <c r="K230"/>
  <c r="H231"/>
  <c r="J231" s="1"/>
  <c r="K231"/>
  <c r="H232"/>
  <c r="J232" s="1"/>
  <c r="K232"/>
  <c r="H233"/>
  <c r="J233" s="1"/>
  <c r="K233"/>
  <c r="H234"/>
  <c r="J234" s="1"/>
  <c r="K234"/>
  <c r="H235"/>
  <c r="J235" s="1"/>
  <c r="K235"/>
  <c r="H236"/>
  <c r="J236" s="1"/>
  <c r="K236"/>
  <c r="H237"/>
  <c r="J237" s="1"/>
  <c r="K237"/>
  <c r="H238"/>
  <c r="J238" s="1"/>
  <c r="K238"/>
  <c r="H239"/>
  <c r="J239" s="1"/>
  <c r="K239"/>
  <c r="H240"/>
  <c r="J240" s="1"/>
  <c r="K240"/>
  <c r="H241"/>
  <c r="J241" s="1"/>
  <c r="K241"/>
  <c r="H242"/>
  <c r="J242" s="1"/>
  <c r="K242"/>
  <c r="H243"/>
  <c r="J243" s="1"/>
  <c r="K243"/>
  <c r="H244"/>
  <c r="J244" s="1"/>
  <c r="K244"/>
  <c r="H245"/>
  <c r="J245" s="1"/>
  <c r="K245"/>
  <c r="H246"/>
  <c r="J246" s="1"/>
  <c r="K246"/>
  <c r="H247"/>
  <c r="J247" s="1"/>
  <c r="K247"/>
  <c r="H248"/>
  <c r="J248" s="1"/>
  <c r="K248"/>
  <c r="M83" l="1"/>
  <c r="M89" s="1"/>
  <c r="M247"/>
  <c r="M245"/>
  <c r="M243"/>
  <c r="M241"/>
  <c r="M239"/>
  <c r="M237"/>
  <c r="M235"/>
  <c r="M248"/>
  <c r="M244"/>
  <c r="M236"/>
  <c r="M219"/>
  <c r="M215"/>
  <c r="M213"/>
  <c r="M99"/>
  <c r="M232"/>
  <c r="M228"/>
  <c r="M220"/>
  <c r="M231"/>
  <c r="M229"/>
  <c r="M227"/>
  <c r="M223"/>
  <c r="M221"/>
  <c r="M225"/>
  <c r="M216"/>
  <c r="M240"/>
  <c r="M233"/>
  <c r="M224"/>
  <c r="M217"/>
  <c r="M242"/>
  <c r="M234"/>
  <c r="M226"/>
  <c r="M218"/>
  <c r="M246"/>
  <c r="M238"/>
  <c r="M230"/>
  <c r="M222"/>
  <c r="M214"/>
  <c r="L249" l="1"/>
  <c r="F249"/>
  <c r="E249"/>
  <c r="K209" l="1"/>
  <c r="K210"/>
  <c r="K211"/>
  <c r="K212"/>
  <c r="H209"/>
  <c r="J209" s="1"/>
  <c r="H210"/>
  <c r="J210" s="1"/>
  <c r="H211"/>
  <c r="J211" s="1"/>
  <c r="H212"/>
  <c r="J212" s="1"/>
  <c r="M209" l="1"/>
  <c r="M211"/>
  <c r="M210"/>
  <c r="M212"/>
  <c r="K103"/>
  <c r="H103"/>
  <c r="J103" s="1"/>
  <c r="K102"/>
  <c r="H102"/>
  <c r="J102" s="1"/>
  <c r="K101"/>
  <c r="H101"/>
  <c r="J101" s="1"/>
  <c r="K208"/>
  <c r="H208"/>
  <c r="J208" s="1"/>
  <c r="K207"/>
  <c r="H207"/>
  <c r="J207" s="1"/>
  <c r="K206"/>
  <c r="H206"/>
  <c r="J206" s="1"/>
  <c r="K205"/>
  <c r="H205"/>
  <c r="J205" s="1"/>
  <c r="K204"/>
  <c r="H204"/>
  <c r="J204" s="1"/>
  <c r="M205" l="1"/>
  <c r="M101"/>
  <c r="M103"/>
  <c r="M102"/>
  <c r="M208"/>
  <c r="M206"/>
  <c r="M207"/>
  <c r="M204"/>
  <c r="K12" l="1"/>
  <c r="H12"/>
  <c r="J12" s="1"/>
  <c r="K30"/>
  <c r="H30"/>
  <c r="J30" s="1"/>
  <c r="M30" l="1"/>
  <c r="M12"/>
  <c r="K203"/>
  <c r="H203"/>
  <c r="J203" s="1"/>
  <c r="K202"/>
  <c r="H202"/>
  <c r="J202" s="1"/>
  <c r="K201"/>
  <c r="H201"/>
  <c r="J201" s="1"/>
  <c r="K200"/>
  <c r="H200"/>
  <c r="J200" s="1"/>
  <c r="K199"/>
  <c r="H199"/>
  <c r="J199" s="1"/>
  <c r="K198"/>
  <c r="H198"/>
  <c r="J198" s="1"/>
  <c r="K197"/>
  <c r="H197"/>
  <c r="J197" s="1"/>
  <c r="K196"/>
  <c r="H196"/>
  <c r="J196" s="1"/>
  <c r="K195"/>
  <c r="H195"/>
  <c r="J195" s="1"/>
  <c r="K194"/>
  <c r="H194"/>
  <c r="J194" s="1"/>
  <c r="K193"/>
  <c r="H193"/>
  <c r="J193" s="1"/>
  <c r="K192"/>
  <c r="H192"/>
  <c r="J192" s="1"/>
  <c r="K191"/>
  <c r="H191"/>
  <c r="J191" s="1"/>
  <c r="K190"/>
  <c r="H190"/>
  <c r="J190" s="1"/>
  <c r="K189"/>
  <c r="H189"/>
  <c r="H249" l="1"/>
  <c r="K249"/>
  <c r="M198"/>
  <c r="M199"/>
  <c r="M192"/>
  <c r="M200"/>
  <c r="M194"/>
  <c r="M193"/>
  <c r="M190"/>
  <c r="M196"/>
  <c r="M191"/>
  <c r="M201"/>
  <c r="M203"/>
  <c r="M195"/>
  <c r="M202"/>
  <c r="M197"/>
  <c r="J189"/>
  <c r="J249" s="1"/>
  <c r="M189" l="1"/>
  <c r="M249" s="1"/>
  <c r="L104" l="1"/>
  <c r="F104"/>
  <c r="E104"/>
  <c r="K100"/>
  <c r="H100"/>
  <c r="F36"/>
  <c r="E36"/>
  <c r="K35"/>
  <c r="H35"/>
  <c r="J35" s="1"/>
  <c r="K34"/>
  <c r="H34"/>
  <c r="J34" s="1"/>
  <c r="K33"/>
  <c r="H33"/>
  <c r="J33" s="1"/>
  <c r="K32"/>
  <c r="H32"/>
  <c r="J32" s="1"/>
  <c r="K31"/>
  <c r="H31"/>
  <c r="J31" s="1"/>
  <c r="K14"/>
  <c r="H14"/>
  <c r="J14" s="1"/>
  <c r="K13"/>
  <c r="H13"/>
  <c r="J13" s="1"/>
  <c r="K11"/>
  <c r="H11"/>
  <c r="J11" s="1"/>
  <c r="K10"/>
  <c r="H10"/>
  <c r="J10" s="1"/>
  <c r="K9"/>
  <c r="H9"/>
  <c r="J9" s="1"/>
  <c r="K8"/>
  <c r="H8"/>
  <c r="J8" s="1"/>
  <c r="K7"/>
  <c r="H7"/>
  <c r="M13" l="1"/>
  <c r="H104"/>
  <c r="M14"/>
  <c r="M32"/>
  <c r="M34"/>
  <c r="K36"/>
  <c r="M8"/>
  <c r="M31"/>
  <c r="M33"/>
  <c r="M35"/>
  <c r="M9"/>
  <c r="M10"/>
  <c r="M11"/>
  <c r="J100"/>
  <c r="J104" s="1"/>
  <c r="L36"/>
  <c r="H36"/>
  <c r="J7"/>
  <c r="K104" l="1"/>
  <c r="M100"/>
  <c r="M104" s="1"/>
  <c r="J36"/>
  <c r="M7"/>
  <c r="M36" s="1"/>
</calcChain>
</file>

<file path=xl/sharedStrings.xml><?xml version="1.0" encoding="utf-8"?>
<sst xmlns="http://schemas.openxmlformats.org/spreadsheetml/2006/main" count="628" uniqueCount="78">
  <si>
    <t>TO,CREAMY FOODS LTD,                                         VILL:-BARTAULI, KHURJA,                       BULANDSHAHR</t>
  </si>
  <si>
    <t>M/S NIRUPAMA GUPTA                                                                                                                             ADD:-RADHA NAGAR,BY PASS ROAD,BULANDSHAHR -203001 U.P.                                                                                                                               MOB:-9837166334</t>
  </si>
  <si>
    <t>VEHICLE NO.UP13DT0632</t>
  </si>
  <si>
    <t>TANKER COP:-29000</t>
  </si>
  <si>
    <t>SL NO.</t>
  </si>
  <si>
    <t>DATE</t>
  </si>
  <si>
    <t>FROM</t>
  </si>
  <si>
    <t>TO</t>
  </si>
  <si>
    <t>KM</t>
  </si>
  <si>
    <t>ROUNDS(BY KMS)</t>
  </si>
  <si>
    <t>AVG.</t>
  </si>
  <si>
    <t>HSD(LTR.)</t>
  </si>
  <si>
    <t>HSD RATE</t>
  </si>
  <si>
    <t>HSD AMOUNT</t>
  </si>
  <si>
    <t>HIRING CHARGE</t>
  </si>
  <si>
    <t>TOLL AMOUNT</t>
  </si>
  <si>
    <t>TOTAL AMOUNT</t>
  </si>
  <si>
    <t>CFL</t>
  </si>
  <si>
    <t>GRAND TOTAL:-</t>
  </si>
  <si>
    <t xml:space="preserve"> </t>
  </si>
  <si>
    <t>BANK DETAILS:-                                                                                              ACCOUNT NAME:- NIRUPAMA GUPTA                                ACCOUNT NO. 6198002100003888                                                               IFSC CODE:- PUNB0619800                                                                               BANK:- PUNJAB NATIONAL BANK                                                       BRANCH:- DAV TIRAHA, BULANDSHAHR</t>
  </si>
  <si>
    <t>AUTHORIZED SIGNATURE</t>
  </si>
  <si>
    <t>VEHICLE NO.UP13BT5953</t>
  </si>
  <si>
    <t>TANKER COP:-23000</t>
  </si>
  <si>
    <t>TO,CREAMY FOODS LTD,                                                                                                                                            VILL:-BARTAULI, KHURJA,                                                                                                                      BULANDSHAHR</t>
  </si>
  <si>
    <t>NIRUPAMA GUPTA                                                                                                                                                                                           ADD:-IN FRONT OF SATYA NARAYAN MANDIR,926                                                                                                                                               RADHA NAGR BULANDSHAHR                                                                                                                                                                                              MOB:-9536555515</t>
  </si>
  <si>
    <t>VEHICLE NO.UP81BT5189</t>
  </si>
  <si>
    <t>TANKER COP:-34000</t>
  </si>
  <si>
    <t>TOTAL</t>
  </si>
  <si>
    <t>VEHICLE NO. UP13ET6255</t>
  </si>
  <si>
    <t>VEHICLE NO. UP13ET6256</t>
  </si>
  <si>
    <t>TANKER COP:-12000</t>
  </si>
  <si>
    <r>
      <rPr>
        <sz val="11"/>
        <rFont val="Calibri"/>
        <family val="1"/>
      </rPr>
      <t>01-Jun</t>
    </r>
  </si>
  <si>
    <r>
      <rPr>
        <sz val="11"/>
        <rFont val="Calibri"/>
        <family val="1"/>
      </rPr>
      <t>02-Jun</t>
    </r>
  </si>
  <si>
    <r>
      <rPr>
        <sz val="11"/>
        <rFont val="Calibri"/>
        <family val="1"/>
      </rPr>
      <t>03-Jun</t>
    </r>
  </si>
  <si>
    <r>
      <rPr>
        <sz val="11"/>
        <rFont val="Calibri"/>
        <family val="1"/>
      </rPr>
      <t>TIRWAGANJ</t>
    </r>
  </si>
  <si>
    <r>
      <rPr>
        <sz val="11"/>
        <rFont val="Calibri"/>
        <family val="1"/>
      </rPr>
      <t>04-Jun</t>
    </r>
  </si>
  <si>
    <r>
      <rPr>
        <sz val="11"/>
        <rFont val="Calibri"/>
        <family val="1"/>
      </rPr>
      <t>05-Jun</t>
    </r>
  </si>
  <si>
    <r>
      <rPr>
        <sz val="11"/>
        <rFont val="Calibri"/>
        <family val="1"/>
      </rPr>
      <t>06-Jun</t>
    </r>
  </si>
  <si>
    <r>
      <rPr>
        <sz val="11"/>
        <rFont val="Calibri"/>
        <family val="1"/>
      </rPr>
      <t>07-Jun</t>
    </r>
  </si>
  <si>
    <r>
      <rPr>
        <sz val="11"/>
        <rFont val="Calibri"/>
        <family val="1"/>
      </rPr>
      <t>08-Jun</t>
    </r>
  </si>
  <si>
    <r>
      <rPr>
        <sz val="11"/>
        <rFont val="Calibri"/>
        <family val="1"/>
      </rPr>
      <t>09-Jun</t>
    </r>
  </si>
  <si>
    <r>
      <rPr>
        <sz val="11"/>
        <rFont val="Calibri"/>
        <family val="1"/>
      </rPr>
      <t>10-Jun</t>
    </r>
  </si>
  <si>
    <r>
      <rPr>
        <sz val="11"/>
        <rFont val="Calibri"/>
        <family val="1"/>
      </rPr>
      <t>11-Jun</t>
    </r>
  </si>
  <si>
    <r>
      <rPr>
        <sz val="11"/>
        <rFont val="Calibri"/>
        <family val="1"/>
      </rPr>
      <t>12-Jun</t>
    </r>
  </si>
  <si>
    <r>
      <rPr>
        <sz val="11"/>
        <rFont val="Calibri"/>
        <family val="1"/>
      </rPr>
      <t>13-Jun</t>
    </r>
  </si>
  <si>
    <r>
      <rPr>
        <sz val="11"/>
        <rFont val="Calibri"/>
        <family val="1"/>
      </rPr>
      <t>14-Jun</t>
    </r>
  </si>
  <si>
    <r>
      <rPr>
        <sz val="11"/>
        <rFont val="Calibri"/>
        <family val="1"/>
      </rPr>
      <t>15-Jun</t>
    </r>
  </si>
  <si>
    <r>
      <rPr>
        <sz val="11"/>
        <rFont val="Calibri"/>
        <family val="1"/>
      </rPr>
      <t>17-Jun</t>
    </r>
  </si>
  <si>
    <r>
      <rPr>
        <sz val="11"/>
        <rFont val="Calibri"/>
        <family val="1"/>
      </rPr>
      <t>18-Jun</t>
    </r>
  </si>
  <si>
    <r>
      <rPr>
        <sz val="11"/>
        <rFont val="Calibri"/>
        <family val="1"/>
      </rPr>
      <t>19-Jun</t>
    </r>
  </si>
  <si>
    <r>
      <rPr>
        <sz val="11"/>
        <rFont val="Calibri"/>
        <family val="1"/>
      </rPr>
      <t>20-Jun</t>
    </r>
  </si>
  <si>
    <r>
      <rPr>
        <sz val="11"/>
        <rFont val="Calibri"/>
        <family val="1"/>
      </rPr>
      <t>21-Jun</t>
    </r>
  </si>
  <si>
    <r>
      <rPr>
        <sz val="11"/>
        <rFont val="Calibri"/>
        <family val="1"/>
      </rPr>
      <t>22-Jun</t>
    </r>
  </si>
  <si>
    <r>
      <rPr>
        <sz val="11"/>
        <rFont val="Calibri"/>
        <family val="1"/>
      </rPr>
      <t>23-Jun</t>
    </r>
  </si>
  <si>
    <r>
      <rPr>
        <sz val="11"/>
        <rFont val="Calibri"/>
        <family val="1"/>
      </rPr>
      <t>24-Jun</t>
    </r>
  </si>
  <si>
    <r>
      <rPr>
        <sz val="11"/>
        <rFont val="Calibri"/>
        <family val="1"/>
      </rPr>
      <t>25-Jun</t>
    </r>
  </si>
  <si>
    <r>
      <rPr>
        <sz val="11"/>
        <rFont val="Calibri"/>
        <family val="1"/>
      </rPr>
      <t>26-Jun</t>
    </r>
  </si>
  <si>
    <r>
      <rPr>
        <sz val="11"/>
        <rFont val="Calibri"/>
        <family val="1"/>
      </rPr>
      <t>27-Jun</t>
    </r>
  </si>
  <si>
    <r>
      <rPr>
        <sz val="11"/>
        <rFont val="Calibri"/>
        <family val="1"/>
      </rPr>
      <t>28-Jun</t>
    </r>
  </si>
  <si>
    <r>
      <rPr>
        <sz val="11"/>
        <rFont val="Calibri"/>
        <family val="1"/>
      </rPr>
      <t>29-Jun</t>
    </r>
  </si>
  <si>
    <r>
      <rPr>
        <sz val="11"/>
        <rFont val="Calibri"/>
        <family val="1"/>
      </rPr>
      <t>30-Jun</t>
    </r>
  </si>
  <si>
    <t>PERIOD:-MONTH JUNE 2026</t>
  </si>
  <si>
    <t>BILL GENERATE DATE:-30/06/2026</t>
  </si>
  <si>
    <r>
      <rPr>
        <sz val="11"/>
        <rFont val="Calibri"/>
        <family val="1"/>
      </rPr>
      <t>SANDI</t>
    </r>
  </si>
  <si>
    <r>
      <rPr>
        <sz val="11"/>
        <rFont val="Calibri"/>
        <family val="1"/>
      </rPr>
      <t>BILSI</t>
    </r>
  </si>
  <si>
    <r>
      <rPr>
        <sz val="11"/>
        <rFont val="Calibri"/>
        <family val="1"/>
      </rPr>
      <t>MOHAMDABAD</t>
    </r>
  </si>
  <si>
    <r>
      <rPr>
        <sz val="11"/>
        <rFont val="Calibri"/>
        <family val="1"/>
      </rPr>
      <t>ANOOPSHAHR</t>
    </r>
  </si>
  <si>
    <r>
      <rPr>
        <sz val="11"/>
        <rFont val="Calibri"/>
        <family val="1"/>
      </rPr>
      <t>16-Jun</t>
    </r>
  </si>
  <si>
    <r>
      <rPr>
        <sz val="11"/>
        <rFont val="Calibri"/>
        <family val="1"/>
      </rPr>
      <t>KHAIR</t>
    </r>
  </si>
  <si>
    <t>BDL</t>
  </si>
  <si>
    <t>BILSI</t>
  </si>
  <si>
    <t>MOHAMDABAD</t>
  </si>
  <si>
    <t>BILL NO:-NIR/06/26-27/11                                                                                  BOOK NO:-01/2026-2027</t>
  </si>
  <si>
    <t>BILL NO:-NIR/06/26-27/12                                                                        BOOK NO:-01/2026-2027</t>
  </si>
  <si>
    <t xml:space="preserve"> BILL NO:-NIR/05/26-27/13                                                                                                                 BOOK NO/01:-2026-2027</t>
  </si>
  <si>
    <t xml:space="preserve"> BILL NO:-NIR/06/26-27/14                                                                                                                 BOOK NO/01:-2026-2027</t>
  </si>
  <si>
    <t xml:space="preserve"> BILL NO:-NIR/06/26-27/15                                                                                                 BOOK NO/01:-2026-2027</t>
  </si>
</sst>
</file>

<file path=xl/styles.xml><?xml version="1.0" encoding="utf-8"?>
<styleSheet xmlns="http://schemas.openxmlformats.org/spreadsheetml/2006/main">
  <numFmts count="1">
    <numFmt numFmtId="164" formatCode="0.0"/>
  </numFmts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Bookman Old Style"/>
      <family val="1"/>
    </font>
    <font>
      <b/>
      <sz val="11"/>
      <color theme="1"/>
      <name val="Bookman Old Style"/>
      <family val="1"/>
    </font>
    <font>
      <b/>
      <sz val="12"/>
      <color theme="1"/>
      <name val="Bookman Old Style"/>
      <family val="1"/>
    </font>
    <font>
      <b/>
      <sz val="12"/>
      <color theme="1"/>
      <name val="Calibri"/>
      <family val="2"/>
      <scheme val="minor"/>
    </font>
    <font>
      <b/>
      <sz val="10"/>
      <color theme="1"/>
      <name val="Arial Black"/>
      <family val="2"/>
    </font>
    <font>
      <sz val="11"/>
      <name val="Calibri"/>
      <family val="1"/>
    </font>
    <font>
      <b/>
      <sz val="10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4" xfId="0" applyFon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5" fillId="0" borderId="9" xfId="0" applyFont="1" applyBorder="1" applyAlignment="1">
      <alignment horizontal="center"/>
    </xf>
    <xf numFmtId="1" fontId="5" fillId="0" borderId="9" xfId="0" applyNumberFormat="1" applyFont="1" applyBorder="1" applyAlignment="1">
      <alignment horizontal="center"/>
    </xf>
    <xf numFmtId="0" fontId="6" fillId="0" borderId="0" xfId="0" applyFont="1" applyBorder="1" applyAlignment="1">
      <alignment horizontal="left" vertical="center" wrapText="1"/>
    </xf>
    <xf numFmtId="0" fontId="6" fillId="0" borderId="0" xfId="0" applyFont="1" applyBorder="1" applyAlignment="1">
      <alignment horizontal="center"/>
    </xf>
    <xf numFmtId="0" fontId="1" fillId="0" borderId="11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7" fillId="0" borderId="5" xfId="0" applyFont="1" applyFill="1" applyBorder="1" applyAlignment="1">
      <alignment horizontal="center" vertical="top" wrapText="1"/>
    </xf>
    <xf numFmtId="0" fontId="0" fillId="0" borderId="4" xfId="0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/>
    </xf>
    <xf numFmtId="0" fontId="0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1" fontId="5" fillId="0" borderId="4" xfId="0" applyNumberFormat="1" applyFont="1" applyBorder="1" applyAlignment="1">
      <alignment horizontal="center"/>
    </xf>
    <xf numFmtId="0" fontId="0" fillId="0" borderId="4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1" fontId="0" fillId="0" borderId="12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0" borderId="5" xfId="0" applyFont="1" applyFill="1" applyBorder="1" applyAlignment="1">
      <alignment horizontal="center" vertical="top" wrapText="1"/>
    </xf>
    <xf numFmtId="0" fontId="10" fillId="0" borderId="5" xfId="0" applyFont="1" applyFill="1" applyBorder="1" applyAlignment="1">
      <alignment horizontal="center" vertical="top" wrapText="1"/>
    </xf>
    <xf numFmtId="0" fontId="0" fillId="0" borderId="4" xfId="0" applyBorder="1" applyAlignment="1">
      <alignment horizontal="center"/>
    </xf>
    <xf numFmtId="16" fontId="10" fillId="0" borderId="5" xfId="0" applyNumberFormat="1" applyFont="1" applyFill="1" applyBorder="1" applyAlignment="1">
      <alignment horizontal="center" vertical="top" wrapText="1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10" fillId="0" borderId="13" xfId="0" applyFont="1" applyFill="1" applyBorder="1" applyAlignment="1">
      <alignment horizontal="center" vertical="top" wrapText="1"/>
    </xf>
    <xf numFmtId="16" fontId="10" fillId="0" borderId="10" xfId="0" applyNumberFormat="1" applyFont="1" applyFill="1" applyBorder="1" applyAlignment="1">
      <alignment horizontal="center" vertical="top" wrapText="1"/>
    </xf>
    <xf numFmtId="0" fontId="10" fillId="0" borderId="10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1" fillId="0" borderId="4" xfId="0" applyFont="1" applyBorder="1" applyAlignment="1">
      <alignment horizontal="left"/>
    </xf>
    <xf numFmtId="0" fontId="1" fillId="0" borderId="4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R286"/>
  <sheetViews>
    <sheetView tabSelected="1" zoomScale="115" zoomScaleNormal="115" workbookViewId="0">
      <selection activeCell="Q9" sqref="Q9"/>
    </sheetView>
  </sheetViews>
  <sheetFormatPr defaultRowHeight="15"/>
  <cols>
    <col min="1" max="1" width="4.28515625" customWidth="1"/>
    <col min="3" max="3" width="15" customWidth="1"/>
    <col min="4" max="4" width="7.28515625" customWidth="1"/>
    <col min="6" max="6" width="7.140625" customWidth="1"/>
    <col min="7" max="7" width="6.140625" customWidth="1"/>
    <col min="8" max="8" width="6.85546875" customWidth="1"/>
    <col min="9" max="9" width="6.5703125" customWidth="1"/>
  </cols>
  <sheetData>
    <row r="2" spans="1:17">
      <c r="A2" s="82" t="s">
        <v>73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4"/>
    </row>
    <row r="3" spans="1:17" ht="65.099999999999994" customHeight="1">
      <c r="A3" s="88" t="s">
        <v>0</v>
      </c>
      <c r="B3" s="89"/>
      <c r="C3" s="89"/>
      <c r="D3" s="89"/>
      <c r="E3" s="89"/>
      <c r="F3" s="89"/>
      <c r="G3" s="90"/>
      <c r="H3" s="85" t="s">
        <v>1</v>
      </c>
      <c r="I3" s="86"/>
      <c r="J3" s="86"/>
      <c r="K3" s="86"/>
      <c r="L3" s="86"/>
      <c r="M3" s="87"/>
    </row>
    <row r="4" spans="1:17">
      <c r="A4" s="56" t="s">
        <v>2</v>
      </c>
      <c r="B4" s="57"/>
      <c r="C4" s="57"/>
      <c r="D4" s="57"/>
      <c r="E4" s="57"/>
      <c r="F4" s="58"/>
      <c r="G4" s="56" t="s">
        <v>62</v>
      </c>
      <c r="H4" s="57"/>
      <c r="I4" s="57"/>
      <c r="J4" s="57"/>
      <c r="K4" s="57"/>
      <c r="L4" s="57"/>
      <c r="M4" s="58"/>
    </row>
    <row r="5" spans="1:17">
      <c r="A5" s="56" t="s">
        <v>3</v>
      </c>
      <c r="B5" s="57"/>
      <c r="C5" s="57"/>
      <c r="D5" s="57"/>
      <c r="E5" s="57"/>
      <c r="F5" s="58"/>
      <c r="G5" s="56" t="s">
        <v>63</v>
      </c>
      <c r="H5" s="57"/>
      <c r="I5" s="57"/>
      <c r="J5" s="57"/>
      <c r="K5" s="57"/>
      <c r="L5" s="57"/>
      <c r="M5" s="58"/>
    </row>
    <row r="6" spans="1:17" ht="45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  <c r="L6" s="1" t="s">
        <v>15</v>
      </c>
      <c r="M6" s="1" t="s">
        <v>16</v>
      </c>
    </row>
    <row r="7" spans="1:17" ht="15" customHeight="1">
      <c r="A7" s="2">
        <v>1</v>
      </c>
      <c r="B7" s="47" t="s">
        <v>32</v>
      </c>
      <c r="C7" s="47" t="s">
        <v>35</v>
      </c>
      <c r="D7" s="3" t="s">
        <v>17</v>
      </c>
      <c r="E7" s="2">
        <v>589</v>
      </c>
      <c r="F7" s="2">
        <v>1.5</v>
      </c>
      <c r="G7" s="2">
        <v>2.5</v>
      </c>
      <c r="H7" s="2">
        <f t="shared" ref="H7:H35" si="0">E7/G7</f>
        <v>235.6</v>
      </c>
      <c r="I7" s="4">
        <v>95.81</v>
      </c>
      <c r="J7" s="5">
        <f t="shared" ref="J7:J35" si="1">I7*H7</f>
        <v>22572.835999999999</v>
      </c>
      <c r="K7" s="2">
        <f>SUM(F7*4500)</f>
        <v>6750</v>
      </c>
      <c r="L7" s="2">
        <f>955+415+470+610+670+330+305+240+205+480</f>
        <v>4680</v>
      </c>
      <c r="M7" s="5">
        <f t="shared" ref="M7:M35" si="2">SUM(J7,K7,L7)</f>
        <v>34002.835999999996</v>
      </c>
      <c r="O7" t="s">
        <v>19</v>
      </c>
    </row>
    <row r="8" spans="1:17" ht="15" customHeight="1">
      <c r="A8" s="43">
        <v>2</v>
      </c>
      <c r="B8" s="47" t="s">
        <v>33</v>
      </c>
      <c r="C8" s="47" t="s">
        <v>35</v>
      </c>
      <c r="D8" s="3" t="s">
        <v>17</v>
      </c>
      <c r="E8" s="43">
        <v>589</v>
      </c>
      <c r="F8" s="43">
        <v>1.5</v>
      </c>
      <c r="G8" s="2">
        <v>2.5</v>
      </c>
      <c r="H8" s="2">
        <f t="shared" si="0"/>
        <v>235.6</v>
      </c>
      <c r="I8" s="4">
        <v>95.81</v>
      </c>
      <c r="J8" s="5">
        <f t="shared" si="1"/>
        <v>22572.835999999999</v>
      </c>
      <c r="K8" s="2">
        <f t="shared" ref="K8:K35" si="3">SUM(F8*4500)</f>
        <v>6750</v>
      </c>
      <c r="L8" s="43">
        <f>955+415+470+610+670+330+305+240+205+480</f>
        <v>4680</v>
      </c>
      <c r="M8" s="5">
        <f t="shared" si="2"/>
        <v>34002.835999999996</v>
      </c>
      <c r="O8" t="s">
        <v>19</v>
      </c>
      <c r="Q8" t="s">
        <v>19</v>
      </c>
    </row>
    <row r="9" spans="1:17" ht="15" customHeight="1">
      <c r="A9" s="43">
        <v>3</v>
      </c>
      <c r="B9" s="47" t="s">
        <v>34</v>
      </c>
      <c r="C9" s="47" t="s">
        <v>35</v>
      </c>
      <c r="D9" s="3" t="s">
        <v>17</v>
      </c>
      <c r="E9" s="43">
        <v>589</v>
      </c>
      <c r="F9" s="43">
        <v>1.5</v>
      </c>
      <c r="G9" s="2">
        <v>2.5</v>
      </c>
      <c r="H9" s="2">
        <f t="shared" si="0"/>
        <v>235.6</v>
      </c>
      <c r="I9" s="4">
        <v>95.81</v>
      </c>
      <c r="J9" s="5">
        <f t="shared" si="1"/>
        <v>22572.835999999999</v>
      </c>
      <c r="K9" s="2">
        <f t="shared" si="3"/>
        <v>6750</v>
      </c>
      <c r="L9" s="49">
        <f t="shared" ref="L9:L35" si="4">955+415+470+610+670+330+305+240+205+480</f>
        <v>4680</v>
      </c>
      <c r="M9" s="5">
        <f t="shared" si="2"/>
        <v>34002.835999999996</v>
      </c>
      <c r="O9" t="s">
        <v>19</v>
      </c>
      <c r="P9" t="s">
        <v>19</v>
      </c>
      <c r="Q9" t="s">
        <v>19</v>
      </c>
    </row>
    <row r="10" spans="1:17" ht="15" customHeight="1">
      <c r="A10" s="43">
        <v>4</v>
      </c>
      <c r="B10" s="47" t="s">
        <v>36</v>
      </c>
      <c r="C10" s="47" t="s">
        <v>35</v>
      </c>
      <c r="D10" s="3" t="s">
        <v>17</v>
      </c>
      <c r="E10" s="43">
        <v>589</v>
      </c>
      <c r="F10" s="43">
        <v>1.5</v>
      </c>
      <c r="G10" s="2">
        <v>2.5</v>
      </c>
      <c r="H10" s="2">
        <f t="shared" si="0"/>
        <v>235.6</v>
      </c>
      <c r="I10" s="4">
        <v>95.81</v>
      </c>
      <c r="J10" s="5">
        <f t="shared" si="1"/>
        <v>22572.835999999999</v>
      </c>
      <c r="K10" s="2">
        <f t="shared" si="3"/>
        <v>6750</v>
      </c>
      <c r="L10" s="49">
        <f t="shared" si="4"/>
        <v>4680</v>
      </c>
      <c r="M10" s="5">
        <f t="shared" si="2"/>
        <v>34002.835999999996</v>
      </c>
      <c r="P10" t="s">
        <v>19</v>
      </c>
      <c r="Q10" t="s">
        <v>19</v>
      </c>
    </row>
    <row r="11" spans="1:17" s="27" customFormat="1">
      <c r="A11" s="43">
        <v>5</v>
      </c>
      <c r="B11" s="47" t="s">
        <v>37</v>
      </c>
      <c r="C11" s="47" t="s">
        <v>35</v>
      </c>
      <c r="D11" s="26" t="s">
        <v>17</v>
      </c>
      <c r="E11" s="43">
        <v>589</v>
      </c>
      <c r="F11" s="43">
        <v>1.5</v>
      </c>
      <c r="G11" s="20">
        <v>2.5</v>
      </c>
      <c r="H11" s="20">
        <f t="shared" si="0"/>
        <v>235.6</v>
      </c>
      <c r="I11" s="4">
        <v>95.81</v>
      </c>
      <c r="J11" s="23">
        <f t="shared" si="1"/>
        <v>22572.835999999999</v>
      </c>
      <c r="K11" s="20">
        <f t="shared" si="3"/>
        <v>6750</v>
      </c>
      <c r="L11" s="49">
        <f t="shared" si="4"/>
        <v>4680</v>
      </c>
      <c r="M11" s="23">
        <f t="shared" si="2"/>
        <v>34002.835999999996</v>
      </c>
      <c r="P11" s="27" t="s">
        <v>19</v>
      </c>
      <c r="Q11" s="27" t="s">
        <v>19</v>
      </c>
    </row>
    <row r="12" spans="1:17" s="27" customFormat="1">
      <c r="A12" s="43">
        <v>6</v>
      </c>
      <c r="B12" s="47" t="s">
        <v>38</v>
      </c>
      <c r="C12" s="47" t="s">
        <v>35</v>
      </c>
      <c r="D12" s="20" t="s">
        <v>17</v>
      </c>
      <c r="E12" s="43">
        <v>589</v>
      </c>
      <c r="F12" s="43">
        <v>1.5</v>
      </c>
      <c r="G12" s="20">
        <v>2.5</v>
      </c>
      <c r="H12" s="20">
        <f>E12/G12</f>
        <v>235.6</v>
      </c>
      <c r="I12" s="4">
        <v>95.81</v>
      </c>
      <c r="J12" s="23">
        <f>I12*H12</f>
        <v>22572.835999999999</v>
      </c>
      <c r="K12" s="20">
        <f>SUM(F12*4500)</f>
        <v>6750</v>
      </c>
      <c r="L12" s="49">
        <f t="shared" si="4"/>
        <v>4680</v>
      </c>
      <c r="M12" s="23">
        <f>SUM(J12,K12,L12)</f>
        <v>34002.835999999996</v>
      </c>
      <c r="P12" s="27" t="s">
        <v>19</v>
      </c>
      <c r="Q12" s="27" t="s">
        <v>19</v>
      </c>
    </row>
    <row r="13" spans="1:17" ht="15" customHeight="1">
      <c r="A13" s="43">
        <v>7</v>
      </c>
      <c r="B13" s="47" t="s">
        <v>39</v>
      </c>
      <c r="C13" s="47" t="s">
        <v>35</v>
      </c>
      <c r="D13" s="20" t="s">
        <v>17</v>
      </c>
      <c r="E13" s="43">
        <v>589</v>
      </c>
      <c r="F13" s="43">
        <v>1.5</v>
      </c>
      <c r="G13" s="2">
        <v>2.5</v>
      </c>
      <c r="H13" s="2">
        <f t="shared" si="0"/>
        <v>235.6</v>
      </c>
      <c r="I13" s="4">
        <v>95.81</v>
      </c>
      <c r="J13" s="5">
        <f t="shared" si="1"/>
        <v>22572.835999999999</v>
      </c>
      <c r="K13" s="2">
        <f t="shared" si="3"/>
        <v>6750</v>
      </c>
      <c r="L13" s="49">
        <f t="shared" si="4"/>
        <v>4680</v>
      </c>
      <c r="M13" s="5">
        <f t="shared" si="2"/>
        <v>34002.835999999996</v>
      </c>
      <c r="P13" t="s">
        <v>19</v>
      </c>
      <c r="Q13" t="s">
        <v>19</v>
      </c>
    </row>
    <row r="14" spans="1:17" ht="15" customHeight="1">
      <c r="A14" s="43">
        <v>8</v>
      </c>
      <c r="B14" s="47" t="s">
        <v>40</v>
      </c>
      <c r="C14" s="47" t="s">
        <v>35</v>
      </c>
      <c r="D14" s="20" t="s">
        <v>17</v>
      </c>
      <c r="E14" s="43">
        <v>589</v>
      </c>
      <c r="F14" s="43">
        <v>1.5</v>
      </c>
      <c r="G14" s="2">
        <v>2.5</v>
      </c>
      <c r="H14" s="2">
        <f t="shared" si="0"/>
        <v>235.6</v>
      </c>
      <c r="I14" s="4">
        <v>95.81</v>
      </c>
      <c r="J14" s="5">
        <f t="shared" si="1"/>
        <v>22572.835999999999</v>
      </c>
      <c r="K14" s="2">
        <f t="shared" si="3"/>
        <v>6750</v>
      </c>
      <c r="L14" s="49">
        <f t="shared" si="4"/>
        <v>4680</v>
      </c>
      <c r="M14" s="5">
        <f t="shared" si="2"/>
        <v>34002.835999999996</v>
      </c>
    </row>
    <row r="15" spans="1:17" ht="15" customHeight="1">
      <c r="A15" s="43">
        <v>9</v>
      </c>
      <c r="B15" s="47" t="s">
        <v>41</v>
      </c>
      <c r="C15" s="47" t="s">
        <v>35</v>
      </c>
      <c r="D15" s="20" t="s">
        <v>17</v>
      </c>
      <c r="E15" s="43">
        <v>589</v>
      </c>
      <c r="F15" s="43">
        <v>1.5</v>
      </c>
      <c r="G15" s="43">
        <v>2.5</v>
      </c>
      <c r="H15" s="43">
        <f t="shared" ref="H15:H29" si="5">E15/G15</f>
        <v>235.6</v>
      </c>
      <c r="I15" s="4">
        <v>95.81</v>
      </c>
      <c r="J15" s="5">
        <f t="shared" ref="J15:J29" si="6">I15*H15</f>
        <v>22572.835999999999</v>
      </c>
      <c r="K15" s="43">
        <f t="shared" ref="K15:K29" si="7">SUM(F15*4500)</f>
        <v>6750</v>
      </c>
      <c r="L15" s="49">
        <f t="shared" si="4"/>
        <v>4680</v>
      </c>
      <c r="M15" s="5">
        <f t="shared" ref="M15:M29" si="8">SUM(J15,K15,L15)</f>
        <v>34002.835999999996</v>
      </c>
      <c r="Q15" t="s">
        <v>19</v>
      </c>
    </row>
    <row r="16" spans="1:17" ht="15" customHeight="1">
      <c r="A16" s="43">
        <v>10</v>
      </c>
      <c r="B16" s="47" t="s">
        <v>42</v>
      </c>
      <c r="C16" s="47" t="s">
        <v>35</v>
      </c>
      <c r="D16" s="20" t="s">
        <v>17</v>
      </c>
      <c r="E16" s="43">
        <v>589</v>
      </c>
      <c r="F16" s="43">
        <v>1.5</v>
      </c>
      <c r="G16" s="43">
        <v>2.5</v>
      </c>
      <c r="H16" s="43">
        <f t="shared" si="5"/>
        <v>235.6</v>
      </c>
      <c r="I16" s="4">
        <v>95.81</v>
      </c>
      <c r="J16" s="5">
        <f t="shared" si="6"/>
        <v>22572.835999999999</v>
      </c>
      <c r="K16" s="43">
        <f t="shared" si="7"/>
        <v>6750</v>
      </c>
      <c r="L16" s="49">
        <f t="shared" si="4"/>
        <v>4680</v>
      </c>
      <c r="M16" s="5">
        <f t="shared" si="8"/>
        <v>34002.835999999996</v>
      </c>
      <c r="Q16" t="s">
        <v>19</v>
      </c>
    </row>
    <row r="17" spans="1:18" ht="15" customHeight="1">
      <c r="A17" s="43">
        <v>11</v>
      </c>
      <c r="B17" s="47" t="s">
        <v>43</v>
      </c>
      <c r="C17" s="47" t="s">
        <v>35</v>
      </c>
      <c r="D17" s="20" t="s">
        <v>17</v>
      </c>
      <c r="E17" s="43">
        <v>589</v>
      </c>
      <c r="F17" s="43">
        <v>1.5</v>
      </c>
      <c r="G17" s="43">
        <v>2.5</v>
      </c>
      <c r="H17" s="43">
        <f t="shared" si="5"/>
        <v>235.6</v>
      </c>
      <c r="I17" s="4">
        <v>95.81</v>
      </c>
      <c r="J17" s="5">
        <f t="shared" si="6"/>
        <v>22572.835999999999</v>
      </c>
      <c r="K17" s="43">
        <f t="shared" si="7"/>
        <v>6750</v>
      </c>
      <c r="L17" s="49">
        <f t="shared" si="4"/>
        <v>4680</v>
      </c>
      <c r="M17" s="5">
        <f t="shared" si="8"/>
        <v>34002.835999999996</v>
      </c>
      <c r="Q17" t="s">
        <v>19</v>
      </c>
    </row>
    <row r="18" spans="1:18" ht="15" customHeight="1">
      <c r="A18" s="43">
        <v>12</v>
      </c>
      <c r="B18" s="47" t="s">
        <v>44</v>
      </c>
      <c r="C18" s="47" t="s">
        <v>35</v>
      </c>
      <c r="D18" s="20" t="s">
        <v>17</v>
      </c>
      <c r="E18" s="43">
        <v>589</v>
      </c>
      <c r="F18" s="43">
        <v>1.5</v>
      </c>
      <c r="G18" s="43">
        <v>2.5</v>
      </c>
      <c r="H18" s="43">
        <f t="shared" si="5"/>
        <v>235.6</v>
      </c>
      <c r="I18" s="4">
        <v>95.81</v>
      </c>
      <c r="J18" s="5">
        <f t="shared" si="6"/>
        <v>22572.835999999999</v>
      </c>
      <c r="K18" s="43">
        <f t="shared" si="7"/>
        <v>6750</v>
      </c>
      <c r="L18" s="49">
        <f t="shared" si="4"/>
        <v>4680</v>
      </c>
      <c r="M18" s="5">
        <f t="shared" si="8"/>
        <v>34002.835999999996</v>
      </c>
      <c r="P18" t="s">
        <v>19</v>
      </c>
      <c r="Q18" t="s">
        <v>19</v>
      </c>
    </row>
    <row r="19" spans="1:18" ht="15" customHeight="1">
      <c r="A19" s="43">
        <v>13</v>
      </c>
      <c r="B19" s="47" t="s">
        <v>45</v>
      </c>
      <c r="C19" s="47" t="s">
        <v>35</v>
      </c>
      <c r="D19" s="20" t="s">
        <v>17</v>
      </c>
      <c r="E19" s="43">
        <v>589</v>
      </c>
      <c r="F19" s="43">
        <v>1.5</v>
      </c>
      <c r="G19" s="43">
        <v>2.5</v>
      </c>
      <c r="H19" s="43">
        <f t="shared" si="5"/>
        <v>235.6</v>
      </c>
      <c r="I19" s="4">
        <v>95.81</v>
      </c>
      <c r="J19" s="5">
        <f t="shared" si="6"/>
        <v>22572.835999999999</v>
      </c>
      <c r="K19" s="43">
        <f t="shared" si="7"/>
        <v>6750</v>
      </c>
      <c r="L19" s="49">
        <f t="shared" si="4"/>
        <v>4680</v>
      </c>
      <c r="M19" s="5">
        <f t="shared" si="8"/>
        <v>34002.835999999996</v>
      </c>
      <c r="P19" t="s">
        <v>19</v>
      </c>
    </row>
    <row r="20" spans="1:18" ht="15" customHeight="1">
      <c r="A20" s="43">
        <v>14</v>
      </c>
      <c r="B20" s="47" t="s">
        <v>46</v>
      </c>
      <c r="C20" s="47" t="s">
        <v>35</v>
      </c>
      <c r="D20" s="20" t="s">
        <v>17</v>
      </c>
      <c r="E20" s="43">
        <v>589</v>
      </c>
      <c r="F20" s="43">
        <v>1.5</v>
      </c>
      <c r="G20" s="43">
        <v>2.5</v>
      </c>
      <c r="H20" s="43">
        <f t="shared" si="5"/>
        <v>235.6</v>
      </c>
      <c r="I20" s="4">
        <v>95.81</v>
      </c>
      <c r="J20" s="5">
        <f t="shared" si="6"/>
        <v>22572.835999999999</v>
      </c>
      <c r="K20" s="43">
        <f t="shared" si="7"/>
        <v>6750</v>
      </c>
      <c r="L20" s="49">
        <f t="shared" si="4"/>
        <v>4680</v>
      </c>
      <c r="M20" s="5">
        <f t="shared" si="8"/>
        <v>34002.835999999996</v>
      </c>
    </row>
    <row r="21" spans="1:18" ht="15" customHeight="1">
      <c r="A21" s="43">
        <v>15</v>
      </c>
      <c r="B21" s="47" t="s">
        <v>47</v>
      </c>
      <c r="C21" s="47" t="s">
        <v>35</v>
      </c>
      <c r="D21" s="20" t="s">
        <v>17</v>
      </c>
      <c r="E21" s="43">
        <v>589</v>
      </c>
      <c r="F21" s="43">
        <v>1.5</v>
      </c>
      <c r="G21" s="43">
        <v>2.5</v>
      </c>
      <c r="H21" s="43">
        <f t="shared" si="5"/>
        <v>235.6</v>
      </c>
      <c r="I21" s="4">
        <v>95.81</v>
      </c>
      <c r="J21" s="5">
        <f t="shared" si="6"/>
        <v>22572.835999999999</v>
      </c>
      <c r="K21" s="43">
        <f t="shared" si="7"/>
        <v>6750</v>
      </c>
      <c r="L21" s="49">
        <f t="shared" si="4"/>
        <v>4680</v>
      </c>
      <c r="M21" s="5">
        <f t="shared" si="8"/>
        <v>34002.835999999996</v>
      </c>
      <c r="P21" t="s">
        <v>19</v>
      </c>
    </row>
    <row r="22" spans="1:18" ht="15" customHeight="1">
      <c r="A22" s="43">
        <v>16</v>
      </c>
      <c r="B22" s="47" t="s">
        <v>48</v>
      </c>
      <c r="C22" s="47" t="s">
        <v>35</v>
      </c>
      <c r="D22" s="20" t="s">
        <v>17</v>
      </c>
      <c r="E22" s="43">
        <v>589</v>
      </c>
      <c r="F22" s="43">
        <v>1.5</v>
      </c>
      <c r="G22" s="43">
        <v>2.5</v>
      </c>
      <c r="H22" s="43">
        <f t="shared" si="5"/>
        <v>235.6</v>
      </c>
      <c r="I22" s="4">
        <v>95.81</v>
      </c>
      <c r="J22" s="5">
        <f t="shared" si="6"/>
        <v>22572.835999999999</v>
      </c>
      <c r="K22" s="43">
        <f t="shared" si="7"/>
        <v>6750</v>
      </c>
      <c r="L22" s="49">
        <f t="shared" si="4"/>
        <v>4680</v>
      </c>
      <c r="M22" s="5">
        <f t="shared" si="8"/>
        <v>34002.835999999996</v>
      </c>
      <c r="P22" t="s">
        <v>19</v>
      </c>
    </row>
    <row r="23" spans="1:18" ht="15" customHeight="1">
      <c r="A23" s="43">
        <v>17</v>
      </c>
      <c r="B23" s="47" t="s">
        <v>49</v>
      </c>
      <c r="C23" s="47" t="s">
        <v>35</v>
      </c>
      <c r="D23" s="20" t="s">
        <v>17</v>
      </c>
      <c r="E23" s="43">
        <v>589</v>
      </c>
      <c r="F23" s="43">
        <v>1.5</v>
      </c>
      <c r="G23" s="43">
        <v>2.5</v>
      </c>
      <c r="H23" s="43">
        <f t="shared" si="5"/>
        <v>235.6</v>
      </c>
      <c r="I23" s="4">
        <v>95.81</v>
      </c>
      <c r="J23" s="5">
        <f t="shared" si="6"/>
        <v>22572.835999999999</v>
      </c>
      <c r="K23" s="43">
        <f t="shared" si="7"/>
        <v>6750</v>
      </c>
      <c r="L23" s="49">
        <f t="shared" si="4"/>
        <v>4680</v>
      </c>
      <c r="M23" s="5">
        <f t="shared" si="8"/>
        <v>34002.835999999996</v>
      </c>
      <c r="P23" t="s">
        <v>19</v>
      </c>
    </row>
    <row r="24" spans="1:18" ht="15" customHeight="1">
      <c r="A24" s="43">
        <v>18</v>
      </c>
      <c r="B24" s="47" t="s">
        <v>50</v>
      </c>
      <c r="C24" s="47" t="s">
        <v>35</v>
      </c>
      <c r="D24" s="20" t="s">
        <v>17</v>
      </c>
      <c r="E24" s="43">
        <v>589</v>
      </c>
      <c r="F24" s="43">
        <v>1.5</v>
      </c>
      <c r="G24" s="43">
        <v>2.5</v>
      </c>
      <c r="H24" s="43">
        <f t="shared" si="5"/>
        <v>235.6</v>
      </c>
      <c r="I24" s="4">
        <v>95.81</v>
      </c>
      <c r="J24" s="5">
        <f t="shared" si="6"/>
        <v>22572.835999999999</v>
      </c>
      <c r="K24" s="43">
        <f t="shared" si="7"/>
        <v>6750</v>
      </c>
      <c r="L24" s="49">
        <f t="shared" si="4"/>
        <v>4680</v>
      </c>
      <c r="M24" s="5">
        <f t="shared" si="8"/>
        <v>34002.835999999996</v>
      </c>
      <c r="P24" t="s">
        <v>19</v>
      </c>
      <c r="Q24" t="s">
        <v>19</v>
      </c>
    </row>
    <row r="25" spans="1:18" ht="15" customHeight="1">
      <c r="A25" s="43">
        <v>19</v>
      </c>
      <c r="B25" s="47" t="s">
        <v>51</v>
      </c>
      <c r="C25" s="47" t="s">
        <v>35</v>
      </c>
      <c r="D25" s="20" t="s">
        <v>17</v>
      </c>
      <c r="E25" s="43">
        <v>589</v>
      </c>
      <c r="F25" s="43">
        <v>1.5</v>
      </c>
      <c r="G25" s="43">
        <v>2.5</v>
      </c>
      <c r="H25" s="43">
        <f t="shared" si="5"/>
        <v>235.6</v>
      </c>
      <c r="I25" s="4">
        <v>95.81</v>
      </c>
      <c r="J25" s="5">
        <f t="shared" si="6"/>
        <v>22572.835999999999</v>
      </c>
      <c r="K25" s="43">
        <f t="shared" si="7"/>
        <v>6750</v>
      </c>
      <c r="L25" s="49">
        <f t="shared" si="4"/>
        <v>4680</v>
      </c>
      <c r="M25" s="5">
        <f t="shared" si="8"/>
        <v>34002.835999999996</v>
      </c>
      <c r="P25" t="s">
        <v>19</v>
      </c>
      <c r="R25" t="s">
        <v>19</v>
      </c>
    </row>
    <row r="26" spans="1:18" ht="15" customHeight="1">
      <c r="A26" s="43">
        <v>20</v>
      </c>
      <c r="B26" s="47" t="s">
        <v>52</v>
      </c>
      <c r="C26" s="47" t="s">
        <v>35</v>
      </c>
      <c r="D26" s="20" t="s">
        <v>17</v>
      </c>
      <c r="E26" s="43">
        <v>589</v>
      </c>
      <c r="F26" s="43">
        <v>1.5</v>
      </c>
      <c r="G26" s="43">
        <v>2.5</v>
      </c>
      <c r="H26" s="43">
        <f t="shared" si="5"/>
        <v>235.6</v>
      </c>
      <c r="I26" s="4">
        <v>95.81</v>
      </c>
      <c r="J26" s="5">
        <f t="shared" si="6"/>
        <v>22572.835999999999</v>
      </c>
      <c r="K26" s="43">
        <f t="shared" si="7"/>
        <v>6750</v>
      </c>
      <c r="L26" s="49">
        <f t="shared" si="4"/>
        <v>4680</v>
      </c>
      <c r="M26" s="5">
        <f t="shared" si="8"/>
        <v>34002.835999999996</v>
      </c>
      <c r="P26" t="s">
        <v>19</v>
      </c>
      <c r="R26" t="s">
        <v>19</v>
      </c>
    </row>
    <row r="27" spans="1:18" ht="15" customHeight="1">
      <c r="A27" s="43">
        <v>21</v>
      </c>
      <c r="B27" s="47" t="s">
        <v>53</v>
      </c>
      <c r="C27" s="47" t="s">
        <v>35</v>
      </c>
      <c r="D27" s="20" t="s">
        <v>17</v>
      </c>
      <c r="E27" s="43">
        <v>589</v>
      </c>
      <c r="F27" s="43">
        <v>1.5</v>
      </c>
      <c r="G27" s="43">
        <v>2.5</v>
      </c>
      <c r="H27" s="43">
        <f t="shared" si="5"/>
        <v>235.6</v>
      </c>
      <c r="I27" s="4">
        <v>95.81</v>
      </c>
      <c r="J27" s="5">
        <f t="shared" si="6"/>
        <v>22572.835999999999</v>
      </c>
      <c r="K27" s="43">
        <f t="shared" si="7"/>
        <v>6750</v>
      </c>
      <c r="L27" s="49">
        <f t="shared" si="4"/>
        <v>4680</v>
      </c>
      <c r="M27" s="5">
        <f t="shared" si="8"/>
        <v>34002.835999999996</v>
      </c>
    </row>
    <row r="28" spans="1:18" ht="15" customHeight="1">
      <c r="A28" s="43">
        <v>22</v>
      </c>
      <c r="B28" s="47" t="s">
        <v>54</v>
      </c>
      <c r="C28" s="47" t="s">
        <v>35</v>
      </c>
      <c r="D28" s="20" t="s">
        <v>17</v>
      </c>
      <c r="E28" s="43">
        <v>589</v>
      </c>
      <c r="F28" s="43">
        <v>1.5</v>
      </c>
      <c r="G28" s="43">
        <v>2.5</v>
      </c>
      <c r="H28" s="43">
        <f t="shared" si="5"/>
        <v>235.6</v>
      </c>
      <c r="I28" s="4">
        <v>95.81</v>
      </c>
      <c r="J28" s="5">
        <f t="shared" si="6"/>
        <v>22572.835999999999</v>
      </c>
      <c r="K28" s="43">
        <f t="shared" si="7"/>
        <v>6750</v>
      </c>
      <c r="L28" s="49">
        <f t="shared" si="4"/>
        <v>4680</v>
      </c>
      <c r="M28" s="5">
        <f t="shared" si="8"/>
        <v>34002.835999999996</v>
      </c>
    </row>
    <row r="29" spans="1:18" s="27" customFormat="1">
      <c r="A29" s="43">
        <v>23</v>
      </c>
      <c r="B29" s="47" t="s">
        <v>55</v>
      </c>
      <c r="C29" s="47" t="s">
        <v>35</v>
      </c>
      <c r="D29" s="20" t="s">
        <v>17</v>
      </c>
      <c r="E29" s="43">
        <v>589</v>
      </c>
      <c r="F29" s="43">
        <v>1.5</v>
      </c>
      <c r="G29" s="43">
        <v>2.5</v>
      </c>
      <c r="H29" s="43">
        <f t="shared" si="5"/>
        <v>235.6</v>
      </c>
      <c r="I29" s="4">
        <v>95.81</v>
      </c>
      <c r="J29" s="5">
        <f t="shared" si="6"/>
        <v>22572.835999999999</v>
      </c>
      <c r="K29" s="43">
        <f t="shared" si="7"/>
        <v>6750</v>
      </c>
      <c r="L29" s="49">
        <f t="shared" si="4"/>
        <v>4680</v>
      </c>
      <c r="M29" s="5">
        <f t="shared" si="8"/>
        <v>34002.835999999996</v>
      </c>
      <c r="P29" s="27" t="s">
        <v>19</v>
      </c>
    </row>
    <row r="30" spans="1:18" s="27" customFormat="1">
      <c r="A30" s="43">
        <v>24</v>
      </c>
      <c r="B30" s="47" t="s">
        <v>56</v>
      </c>
      <c r="C30" s="47" t="s">
        <v>35</v>
      </c>
      <c r="D30" s="20" t="s">
        <v>17</v>
      </c>
      <c r="E30" s="43">
        <v>589</v>
      </c>
      <c r="F30" s="43">
        <v>1.5</v>
      </c>
      <c r="G30" s="20">
        <v>2.5</v>
      </c>
      <c r="H30" s="20">
        <f>E30/G30</f>
        <v>235.6</v>
      </c>
      <c r="I30" s="4">
        <v>95.81</v>
      </c>
      <c r="J30" s="23">
        <f>I30*H30</f>
        <v>22572.835999999999</v>
      </c>
      <c r="K30" s="20">
        <f>SUM(F30*4500)</f>
        <v>6750</v>
      </c>
      <c r="L30" s="49">
        <f t="shared" si="4"/>
        <v>4680</v>
      </c>
      <c r="M30" s="23">
        <f>SUM(J30,K30,L30)</f>
        <v>34002.835999999996</v>
      </c>
      <c r="P30" s="27" t="s">
        <v>19</v>
      </c>
    </row>
    <row r="31" spans="1:18" ht="15" customHeight="1">
      <c r="A31" s="43">
        <v>25</v>
      </c>
      <c r="B31" s="47" t="s">
        <v>57</v>
      </c>
      <c r="C31" s="47" t="s">
        <v>35</v>
      </c>
      <c r="D31" s="20" t="s">
        <v>17</v>
      </c>
      <c r="E31" s="43">
        <v>589</v>
      </c>
      <c r="F31" s="43">
        <v>1.5</v>
      </c>
      <c r="G31" s="2">
        <v>2.5</v>
      </c>
      <c r="H31" s="2">
        <f t="shared" si="0"/>
        <v>235.6</v>
      </c>
      <c r="I31" s="4">
        <v>95.81</v>
      </c>
      <c r="J31" s="5">
        <f t="shared" si="1"/>
        <v>22572.835999999999</v>
      </c>
      <c r="K31" s="2">
        <f t="shared" si="3"/>
        <v>6750</v>
      </c>
      <c r="L31" s="49">
        <f t="shared" si="4"/>
        <v>4680</v>
      </c>
      <c r="M31" s="5">
        <f t="shared" si="2"/>
        <v>34002.835999999996</v>
      </c>
      <c r="P31" t="s">
        <v>19</v>
      </c>
    </row>
    <row r="32" spans="1:18" ht="15" customHeight="1">
      <c r="A32" s="43">
        <v>26</v>
      </c>
      <c r="B32" s="47" t="s">
        <v>58</v>
      </c>
      <c r="C32" s="47" t="s">
        <v>35</v>
      </c>
      <c r="D32" s="20" t="s">
        <v>17</v>
      </c>
      <c r="E32" s="43">
        <v>589</v>
      </c>
      <c r="F32" s="43">
        <v>1.5</v>
      </c>
      <c r="G32" s="2">
        <v>2.5</v>
      </c>
      <c r="H32" s="2">
        <f t="shared" si="0"/>
        <v>235.6</v>
      </c>
      <c r="I32" s="4">
        <v>95.81</v>
      </c>
      <c r="J32" s="5">
        <f t="shared" si="1"/>
        <v>22572.835999999999</v>
      </c>
      <c r="K32" s="2">
        <f t="shared" si="3"/>
        <v>6750</v>
      </c>
      <c r="L32" s="49">
        <f t="shared" si="4"/>
        <v>4680</v>
      </c>
      <c r="M32" s="5">
        <f t="shared" si="2"/>
        <v>34002.835999999996</v>
      </c>
      <c r="P32" t="s">
        <v>19</v>
      </c>
    </row>
    <row r="33" spans="1:17" ht="15" customHeight="1">
      <c r="A33" s="43">
        <v>27</v>
      </c>
      <c r="B33" s="47" t="s">
        <v>59</v>
      </c>
      <c r="C33" s="47" t="s">
        <v>35</v>
      </c>
      <c r="D33" s="20" t="s">
        <v>17</v>
      </c>
      <c r="E33" s="43">
        <v>589</v>
      </c>
      <c r="F33" s="43">
        <v>1.5</v>
      </c>
      <c r="G33" s="2">
        <v>2.5</v>
      </c>
      <c r="H33" s="2">
        <f t="shared" si="0"/>
        <v>235.6</v>
      </c>
      <c r="I33" s="4">
        <v>95.81</v>
      </c>
      <c r="J33" s="5">
        <f t="shared" si="1"/>
        <v>22572.835999999999</v>
      </c>
      <c r="K33" s="2">
        <f t="shared" si="3"/>
        <v>6750</v>
      </c>
      <c r="L33" s="49">
        <f t="shared" si="4"/>
        <v>4680</v>
      </c>
      <c r="M33" s="5">
        <f t="shared" si="2"/>
        <v>34002.835999999996</v>
      </c>
      <c r="P33" t="s">
        <v>19</v>
      </c>
    </row>
    <row r="34" spans="1:17" ht="15" customHeight="1">
      <c r="A34" s="43">
        <v>28</v>
      </c>
      <c r="B34" s="47" t="s">
        <v>60</v>
      </c>
      <c r="C34" s="47" t="s">
        <v>35</v>
      </c>
      <c r="D34" s="31" t="s">
        <v>17</v>
      </c>
      <c r="E34" s="43">
        <v>589</v>
      </c>
      <c r="F34" s="43">
        <v>1.5</v>
      </c>
      <c r="G34" s="2">
        <v>2.5</v>
      </c>
      <c r="H34" s="2">
        <f t="shared" si="0"/>
        <v>235.6</v>
      </c>
      <c r="I34" s="4">
        <v>95.81</v>
      </c>
      <c r="J34" s="5">
        <f t="shared" si="1"/>
        <v>22572.835999999999</v>
      </c>
      <c r="K34" s="2">
        <f t="shared" si="3"/>
        <v>6750</v>
      </c>
      <c r="L34" s="49">
        <f t="shared" si="4"/>
        <v>4680</v>
      </c>
      <c r="M34" s="5">
        <f t="shared" si="2"/>
        <v>34002.835999999996</v>
      </c>
    </row>
    <row r="35" spans="1:17" ht="15" customHeight="1">
      <c r="A35" s="43">
        <v>29</v>
      </c>
      <c r="B35" s="47" t="s">
        <v>61</v>
      </c>
      <c r="C35" s="47" t="s">
        <v>35</v>
      </c>
      <c r="D35" s="32" t="s">
        <v>17</v>
      </c>
      <c r="E35" s="43">
        <v>589</v>
      </c>
      <c r="F35" s="43">
        <v>1.5</v>
      </c>
      <c r="G35" s="2">
        <v>2.5</v>
      </c>
      <c r="H35" s="2">
        <f t="shared" si="0"/>
        <v>235.6</v>
      </c>
      <c r="I35" s="4">
        <v>95.81</v>
      </c>
      <c r="J35" s="5">
        <f t="shared" si="1"/>
        <v>22572.835999999999</v>
      </c>
      <c r="K35" s="2">
        <f t="shared" si="3"/>
        <v>6750</v>
      </c>
      <c r="L35" s="49">
        <f t="shared" si="4"/>
        <v>4680</v>
      </c>
      <c r="M35" s="5">
        <f t="shared" si="2"/>
        <v>34002.835999999996</v>
      </c>
      <c r="O35" t="s">
        <v>19</v>
      </c>
      <c r="P35" t="s">
        <v>19</v>
      </c>
      <c r="Q35" t="s">
        <v>19</v>
      </c>
    </row>
    <row r="36" spans="1:17" ht="15.75">
      <c r="A36" s="78" t="s">
        <v>18</v>
      </c>
      <c r="B36" s="79"/>
      <c r="C36" s="79"/>
      <c r="D36" s="80"/>
      <c r="E36" s="6">
        <f>SUM(E7:E35)</f>
        <v>17081</v>
      </c>
      <c r="F36" s="6">
        <f>SUM(F7:F35)</f>
        <v>43.5</v>
      </c>
      <c r="G36" s="6" t="s">
        <v>19</v>
      </c>
      <c r="H36" s="6">
        <f>SUM(H7:H35)</f>
        <v>6832.4000000000033</v>
      </c>
      <c r="I36" s="6" t="s">
        <v>19</v>
      </c>
      <c r="J36" s="6">
        <f>SUM(J7:J35)</f>
        <v>654612.24400000018</v>
      </c>
      <c r="K36" s="6">
        <f>SUM(K7:K35)</f>
        <v>195750</v>
      </c>
      <c r="L36" s="6">
        <f>SUM(L7:L35)</f>
        <v>135720</v>
      </c>
      <c r="M36" s="7">
        <f>SUM(M7:M35)</f>
        <v>986082.24400000018</v>
      </c>
    </row>
    <row r="37" spans="1:17" ht="75" customHeight="1">
      <c r="A37" s="62" t="s">
        <v>20</v>
      </c>
      <c r="B37" s="62"/>
      <c r="C37" s="62"/>
      <c r="D37" s="62"/>
      <c r="E37" s="62"/>
      <c r="F37" s="62"/>
      <c r="G37" s="62"/>
      <c r="H37" s="76"/>
      <c r="I37" s="76"/>
      <c r="J37" s="76"/>
      <c r="K37" s="76"/>
      <c r="L37" s="76"/>
      <c r="M37" s="76"/>
    </row>
    <row r="38" spans="1:17" ht="15.75">
      <c r="A38" s="62"/>
      <c r="B38" s="62"/>
      <c r="C38" s="62"/>
      <c r="D38" s="62"/>
      <c r="E38" s="62"/>
      <c r="F38" s="62"/>
      <c r="G38" s="62"/>
      <c r="H38" s="77" t="s">
        <v>21</v>
      </c>
      <c r="I38" s="77"/>
      <c r="J38" s="77"/>
      <c r="K38" s="77"/>
      <c r="L38" s="77"/>
      <c r="M38" s="77"/>
    </row>
    <row r="39" spans="1:17" ht="15.75">
      <c r="A39" s="8"/>
      <c r="B39" s="8"/>
      <c r="C39" s="8"/>
      <c r="D39" s="8"/>
      <c r="E39" s="8"/>
      <c r="F39" s="8"/>
      <c r="G39" s="8"/>
      <c r="H39" s="9"/>
      <c r="I39" s="9"/>
      <c r="J39" s="9"/>
      <c r="K39" s="9"/>
      <c r="L39" s="9" t="s">
        <v>19</v>
      </c>
      <c r="M39" s="9"/>
    </row>
    <row r="40" spans="1:17" ht="15.75">
      <c r="A40" s="8"/>
      <c r="B40" s="8"/>
      <c r="C40" s="8"/>
      <c r="D40" s="8"/>
      <c r="E40" s="8"/>
      <c r="F40" s="8"/>
      <c r="G40" s="8"/>
      <c r="H40" s="9"/>
      <c r="I40" s="9"/>
      <c r="J40" s="9"/>
      <c r="K40" s="9"/>
      <c r="L40" s="9"/>
      <c r="M40" s="9"/>
    </row>
    <row r="41" spans="1:17" ht="15.75">
      <c r="A41" s="8"/>
      <c r="B41" s="8"/>
      <c r="C41" s="8"/>
      <c r="D41" s="8"/>
      <c r="E41" s="8"/>
      <c r="F41" s="8"/>
      <c r="G41" s="8"/>
      <c r="H41" s="9"/>
      <c r="I41" s="9"/>
      <c r="J41" s="9"/>
      <c r="K41" s="9"/>
      <c r="L41" s="9"/>
      <c r="M41" s="9"/>
    </row>
    <row r="42" spans="1:17" ht="15.75">
      <c r="A42" s="8"/>
      <c r="B42" s="8"/>
      <c r="C42" s="8"/>
      <c r="D42" s="8"/>
      <c r="E42" s="8"/>
      <c r="F42" s="8"/>
      <c r="G42" s="8"/>
      <c r="H42" s="9"/>
      <c r="I42" s="9"/>
      <c r="J42" s="9"/>
      <c r="K42" s="9"/>
      <c r="L42" s="9"/>
      <c r="M42" s="9"/>
    </row>
    <row r="43" spans="1:17" ht="15.75">
      <c r="A43" s="8"/>
      <c r="B43" s="8"/>
      <c r="C43" s="8"/>
      <c r="D43" s="8"/>
      <c r="E43" s="8"/>
      <c r="F43" s="8"/>
      <c r="G43" s="8"/>
      <c r="H43" s="9"/>
      <c r="I43" s="9"/>
      <c r="J43" s="9"/>
      <c r="K43" s="9"/>
      <c r="L43" s="9"/>
      <c r="M43" s="9"/>
    </row>
    <row r="44" spans="1:17" ht="15.75">
      <c r="A44" s="8"/>
      <c r="B44" s="8"/>
      <c r="C44" s="8"/>
      <c r="D44" s="8"/>
      <c r="E44" s="8"/>
      <c r="F44" s="8"/>
      <c r="G44" s="8"/>
      <c r="H44" s="9"/>
      <c r="I44" s="9"/>
      <c r="J44" s="9"/>
      <c r="K44" s="9"/>
      <c r="L44" s="9"/>
      <c r="M44" s="9"/>
    </row>
    <row r="45" spans="1:17" ht="15.75">
      <c r="A45" s="8"/>
      <c r="B45" s="8"/>
      <c r="C45" s="8"/>
      <c r="D45" s="8"/>
      <c r="E45" s="8"/>
      <c r="F45" s="8"/>
      <c r="G45" s="8"/>
      <c r="H45" s="9"/>
      <c r="I45" s="9"/>
      <c r="J45" s="9"/>
      <c r="K45" s="9"/>
      <c r="L45" s="9"/>
      <c r="M45" s="9"/>
    </row>
    <row r="46" spans="1:17" ht="15.75">
      <c r="A46" s="8"/>
      <c r="B46" s="8"/>
      <c r="C46" s="8"/>
      <c r="D46" s="8"/>
      <c r="E46" s="8"/>
      <c r="F46" s="8"/>
      <c r="G46" s="8"/>
      <c r="H46" s="9"/>
      <c r="I46" s="9"/>
      <c r="J46" s="9"/>
      <c r="K46" s="9"/>
      <c r="L46" s="9"/>
      <c r="M46" s="9"/>
    </row>
    <row r="47" spans="1:17" ht="15.75">
      <c r="A47" s="8"/>
      <c r="B47" s="8"/>
      <c r="C47" s="8"/>
      <c r="D47" s="8"/>
      <c r="E47" s="8"/>
      <c r="F47" s="8"/>
      <c r="G47" s="8"/>
      <c r="H47" s="9"/>
      <c r="I47" s="9"/>
      <c r="J47" s="9"/>
      <c r="K47" s="9"/>
      <c r="L47" s="9"/>
      <c r="M47" s="9"/>
    </row>
    <row r="48" spans="1:17" ht="15.75">
      <c r="A48" s="8"/>
      <c r="B48" s="8"/>
      <c r="C48" s="8"/>
      <c r="D48" s="8"/>
      <c r="E48" s="8"/>
      <c r="F48" s="8"/>
      <c r="G48" s="8"/>
      <c r="H48" s="9"/>
      <c r="I48" s="9"/>
      <c r="J48" s="9"/>
      <c r="K48" s="9"/>
      <c r="L48" s="9"/>
      <c r="M48" s="9"/>
    </row>
    <row r="49" spans="1:13">
      <c r="A49" s="82" t="s">
        <v>74</v>
      </c>
      <c r="B49" s="83"/>
      <c r="C49" s="83"/>
      <c r="D49" s="83"/>
      <c r="E49" s="83"/>
      <c r="F49" s="83"/>
      <c r="G49" s="83"/>
      <c r="H49" s="83"/>
      <c r="I49" s="83"/>
      <c r="J49" s="83"/>
      <c r="K49" s="83"/>
      <c r="L49" s="83"/>
      <c r="M49" s="84"/>
    </row>
    <row r="50" spans="1:13" ht="65.099999999999994" customHeight="1">
      <c r="A50" s="85" t="s">
        <v>0</v>
      </c>
      <c r="B50" s="86"/>
      <c r="C50" s="86"/>
      <c r="D50" s="86"/>
      <c r="E50" s="86"/>
      <c r="F50" s="86"/>
      <c r="G50" s="87"/>
      <c r="H50" s="85" t="s">
        <v>1</v>
      </c>
      <c r="I50" s="86"/>
      <c r="J50" s="86"/>
      <c r="K50" s="86"/>
      <c r="L50" s="86"/>
      <c r="M50" s="87"/>
    </row>
    <row r="51" spans="1:13">
      <c r="A51" s="56" t="s">
        <v>22</v>
      </c>
      <c r="B51" s="57"/>
      <c r="C51" s="57"/>
      <c r="D51" s="57"/>
      <c r="E51" s="57"/>
      <c r="F51" s="58"/>
      <c r="G51" s="56" t="s">
        <v>62</v>
      </c>
      <c r="H51" s="57"/>
      <c r="I51" s="57"/>
      <c r="J51" s="57"/>
      <c r="K51" s="57"/>
      <c r="L51" s="57"/>
      <c r="M51" s="58"/>
    </row>
    <row r="52" spans="1:13">
      <c r="A52" s="56" t="s">
        <v>23</v>
      </c>
      <c r="B52" s="57"/>
      <c r="C52" s="57"/>
      <c r="D52" s="57"/>
      <c r="E52" s="57"/>
      <c r="F52" s="58"/>
      <c r="G52" s="56" t="s">
        <v>63</v>
      </c>
      <c r="H52" s="57"/>
      <c r="I52" s="57"/>
      <c r="J52" s="57"/>
      <c r="K52" s="57"/>
      <c r="L52" s="57"/>
      <c r="M52" s="58"/>
    </row>
    <row r="53" spans="1:13" ht="45">
      <c r="A53" s="34" t="s">
        <v>4</v>
      </c>
      <c r="B53" s="1" t="s">
        <v>5</v>
      </c>
      <c r="C53" s="1" t="s">
        <v>6</v>
      </c>
      <c r="D53" s="28" t="s">
        <v>7</v>
      </c>
      <c r="E53" s="1" t="s">
        <v>8</v>
      </c>
      <c r="F53" s="1" t="s">
        <v>9</v>
      </c>
      <c r="G53" s="1" t="s">
        <v>10</v>
      </c>
      <c r="H53" s="1" t="s">
        <v>11</v>
      </c>
      <c r="I53" s="35" t="s">
        <v>12</v>
      </c>
      <c r="J53" s="1" t="s">
        <v>13</v>
      </c>
      <c r="K53" s="1" t="s">
        <v>14</v>
      </c>
      <c r="L53" s="1" t="s">
        <v>15</v>
      </c>
      <c r="M53" s="1" t="s">
        <v>16</v>
      </c>
    </row>
    <row r="54" spans="1:13">
      <c r="A54" s="46">
        <v>1</v>
      </c>
      <c r="B54" s="48" t="s">
        <v>32</v>
      </c>
      <c r="C54" s="48" t="s">
        <v>65</v>
      </c>
      <c r="D54" s="14" t="s">
        <v>70</v>
      </c>
      <c r="E54" s="46">
        <v>110</v>
      </c>
      <c r="F54" s="46">
        <v>0.5</v>
      </c>
      <c r="G54" s="46">
        <v>3</v>
      </c>
      <c r="H54" s="36">
        <f t="shared" ref="H54" si="9">E54/G54</f>
        <v>36.666666666666664</v>
      </c>
      <c r="I54" s="39">
        <v>95.81</v>
      </c>
      <c r="J54" s="37">
        <f>I54*H54</f>
        <v>3513.0333333333333</v>
      </c>
      <c r="K54" s="46">
        <f>SUM(F54*3000)</f>
        <v>1500</v>
      </c>
      <c r="L54" s="46">
        <v>0</v>
      </c>
      <c r="M54" s="5">
        <f>SUM(J54:L54)</f>
        <v>5013.0333333333328</v>
      </c>
    </row>
    <row r="55" spans="1:13" ht="15" customHeight="1">
      <c r="A55" s="46">
        <v>2</v>
      </c>
      <c r="B55" s="48" t="s">
        <v>32</v>
      </c>
      <c r="C55" s="48" t="s">
        <v>65</v>
      </c>
      <c r="D55" s="14" t="s">
        <v>17</v>
      </c>
      <c r="E55" s="2">
        <v>310</v>
      </c>
      <c r="F55" s="2">
        <v>1</v>
      </c>
      <c r="G55" s="46">
        <v>3</v>
      </c>
      <c r="H55" s="36">
        <f t="shared" ref="H55:H82" si="10">E55/G55</f>
        <v>103.33333333333333</v>
      </c>
      <c r="I55" s="39">
        <v>95.81</v>
      </c>
      <c r="J55" s="37">
        <f t="shared" ref="J55:J82" si="11">I55*H55</f>
        <v>9900.3666666666668</v>
      </c>
      <c r="K55" s="46">
        <f t="shared" ref="K55:K82" si="12">SUM(F55*3000)</f>
        <v>3000</v>
      </c>
      <c r="L55" s="46">
        <v>0</v>
      </c>
      <c r="M55" s="5">
        <f t="shared" ref="M55:M82" si="13">SUM(J55:L55)</f>
        <v>12900.366666666667</v>
      </c>
    </row>
    <row r="56" spans="1:13" ht="15" customHeight="1">
      <c r="A56" s="46">
        <v>3</v>
      </c>
      <c r="B56" s="48" t="s">
        <v>33</v>
      </c>
      <c r="C56" s="48" t="s">
        <v>65</v>
      </c>
      <c r="D56" s="14" t="s">
        <v>17</v>
      </c>
      <c r="E56" s="43">
        <v>310</v>
      </c>
      <c r="F56" s="43">
        <v>1</v>
      </c>
      <c r="G56" s="46">
        <v>3</v>
      </c>
      <c r="H56" s="36">
        <f t="shared" si="10"/>
        <v>103.33333333333333</v>
      </c>
      <c r="I56" s="39">
        <v>95.81</v>
      </c>
      <c r="J56" s="37">
        <f t="shared" si="11"/>
        <v>9900.3666666666668</v>
      </c>
      <c r="K56" s="46">
        <f t="shared" si="12"/>
        <v>3000</v>
      </c>
      <c r="L56" s="46">
        <v>0</v>
      </c>
      <c r="M56" s="5">
        <f t="shared" si="13"/>
        <v>12900.366666666667</v>
      </c>
    </row>
    <row r="57" spans="1:13" ht="15" customHeight="1">
      <c r="A57" s="46">
        <v>4</v>
      </c>
      <c r="B57" s="48" t="s">
        <v>38</v>
      </c>
      <c r="C57" s="48" t="s">
        <v>65</v>
      </c>
      <c r="D57" s="14" t="s">
        <v>17</v>
      </c>
      <c r="E57" s="43">
        <v>310</v>
      </c>
      <c r="F57" s="43">
        <v>1</v>
      </c>
      <c r="G57" s="46">
        <v>3</v>
      </c>
      <c r="H57" s="36">
        <f t="shared" si="10"/>
        <v>103.33333333333333</v>
      </c>
      <c r="I57" s="39">
        <v>95.81</v>
      </c>
      <c r="J57" s="37">
        <f t="shared" si="11"/>
        <v>9900.3666666666668</v>
      </c>
      <c r="K57" s="46">
        <f t="shared" si="12"/>
        <v>3000</v>
      </c>
      <c r="L57" s="46">
        <v>0</v>
      </c>
      <c r="M57" s="5">
        <f t="shared" si="13"/>
        <v>12900.366666666667</v>
      </c>
    </row>
    <row r="58" spans="1:13" ht="15" customHeight="1">
      <c r="A58" s="46">
        <v>5</v>
      </c>
      <c r="B58" s="50">
        <v>46180</v>
      </c>
      <c r="C58" s="48" t="s">
        <v>71</v>
      </c>
      <c r="D58" s="14" t="s">
        <v>70</v>
      </c>
      <c r="E58" s="46">
        <v>110</v>
      </c>
      <c r="F58" s="46">
        <v>0.5</v>
      </c>
      <c r="G58" s="46">
        <v>3</v>
      </c>
      <c r="H58" s="36">
        <f t="shared" si="10"/>
        <v>36.666666666666664</v>
      </c>
      <c r="I58" s="39">
        <v>95.81</v>
      </c>
      <c r="J58" s="37">
        <f t="shared" si="11"/>
        <v>3513.0333333333333</v>
      </c>
      <c r="K58" s="46">
        <f t="shared" si="12"/>
        <v>1500</v>
      </c>
      <c r="L58" s="46">
        <v>0</v>
      </c>
      <c r="M58" s="5">
        <f t="shared" si="13"/>
        <v>5013.0333333333328</v>
      </c>
    </row>
    <row r="59" spans="1:13" ht="15" customHeight="1">
      <c r="A59" s="46">
        <v>6</v>
      </c>
      <c r="B59" s="48" t="s">
        <v>39</v>
      </c>
      <c r="C59" s="48" t="s">
        <v>65</v>
      </c>
      <c r="D59" s="14" t="s">
        <v>17</v>
      </c>
      <c r="E59" s="43">
        <v>310</v>
      </c>
      <c r="F59" s="43">
        <v>1</v>
      </c>
      <c r="G59" s="46">
        <v>3</v>
      </c>
      <c r="H59" s="36">
        <f t="shared" si="10"/>
        <v>103.33333333333333</v>
      </c>
      <c r="I59" s="39">
        <v>95.81</v>
      </c>
      <c r="J59" s="37">
        <f t="shared" si="11"/>
        <v>9900.3666666666668</v>
      </c>
      <c r="K59" s="46">
        <f t="shared" si="12"/>
        <v>3000</v>
      </c>
      <c r="L59" s="46">
        <v>445</v>
      </c>
      <c r="M59" s="5">
        <f t="shared" si="13"/>
        <v>13345.366666666667</v>
      </c>
    </row>
    <row r="60" spans="1:13" ht="15" customHeight="1">
      <c r="A60" s="46">
        <v>7</v>
      </c>
      <c r="B60" s="50">
        <v>46182</v>
      </c>
      <c r="C60" s="48" t="s">
        <v>71</v>
      </c>
      <c r="D60" s="14" t="s">
        <v>70</v>
      </c>
      <c r="E60" s="46">
        <v>110</v>
      </c>
      <c r="F60" s="46">
        <v>0.5</v>
      </c>
      <c r="G60" s="46">
        <v>3</v>
      </c>
      <c r="H60" s="36">
        <f t="shared" si="10"/>
        <v>36.666666666666664</v>
      </c>
      <c r="I60" s="39">
        <v>95.81</v>
      </c>
      <c r="J60" s="37">
        <f t="shared" si="11"/>
        <v>3513.0333333333333</v>
      </c>
      <c r="K60" s="46">
        <f t="shared" si="12"/>
        <v>1500</v>
      </c>
      <c r="L60" s="46">
        <v>0</v>
      </c>
      <c r="M60" s="5">
        <f t="shared" si="13"/>
        <v>5013.0333333333328</v>
      </c>
    </row>
    <row r="61" spans="1:13" ht="15" customHeight="1">
      <c r="A61" s="46">
        <v>8</v>
      </c>
      <c r="B61" s="48" t="s">
        <v>41</v>
      </c>
      <c r="C61" s="48" t="s">
        <v>65</v>
      </c>
      <c r="D61" s="14" t="s">
        <v>17</v>
      </c>
      <c r="E61" s="43">
        <v>310</v>
      </c>
      <c r="F61" s="43">
        <v>1</v>
      </c>
      <c r="G61" s="46">
        <v>3</v>
      </c>
      <c r="H61" s="36">
        <f t="shared" si="10"/>
        <v>103.33333333333333</v>
      </c>
      <c r="I61" s="39">
        <v>95.81</v>
      </c>
      <c r="J61" s="37">
        <f t="shared" si="11"/>
        <v>9900.3666666666668</v>
      </c>
      <c r="K61" s="46">
        <f t="shared" si="12"/>
        <v>3000</v>
      </c>
      <c r="L61" s="46">
        <v>0</v>
      </c>
      <c r="M61" s="5">
        <f t="shared" si="13"/>
        <v>12900.366666666667</v>
      </c>
    </row>
    <row r="62" spans="1:13" ht="15" customHeight="1">
      <c r="A62" s="46">
        <v>9</v>
      </c>
      <c r="B62" s="50">
        <v>46183</v>
      </c>
      <c r="C62" s="48" t="s">
        <v>71</v>
      </c>
      <c r="D62" s="14" t="s">
        <v>70</v>
      </c>
      <c r="E62" s="46">
        <v>110</v>
      </c>
      <c r="F62" s="46">
        <v>0.5</v>
      </c>
      <c r="G62" s="46">
        <v>3</v>
      </c>
      <c r="H62" s="36">
        <f t="shared" si="10"/>
        <v>36.666666666666664</v>
      </c>
      <c r="I62" s="39">
        <v>95.81</v>
      </c>
      <c r="J62" s="37">
        <f t="shared" si="11"/>
        <v>3513.0333333333333</v>
      </c>
      <c r="K62" s="46">
        <f t="shared" si="12"/>
        <v>1500</v>
      </c>
      <c r="L62" s="46">
        <v>0</v>
      </c>
      <c r="M62" s="5">
        <f t="shared" si="13"/>
        <v>5013.0333333333328</v>
      </c>
    </row>
    <row r="63" spans="1:13" ht="15" customHeight="1">
      <c r="A63" s="46">
        <v>10</v>
      </c>
      <c r="B63" s="48" t="s">
        <v>43</v>
      </c>
      <c r="C63" s="48" t="s">
        <v>65</v>
      </c>
      <c r="D63" s="14" t="s">
        <v>17</v>
      </c>
      <c r="E63" s="43">
        <v>310</v>
      </c>
      <c r="F63" s="43">
        <v>1</v>
      </c>
      <c r="G63" s="46">
        <v>3</v>
      </c>
      <c r="H63" s="36">
        <f t="shared" si="10"/>
        <v>103.33333333333333</v>
      </c>
      <c r="I63" s="39">
        <v>95.81</v>
      </c>
      <c r="J63" s="37">
        <f t="shared" si="11"/>
        <v>9900.3666666666668</v>
      </c>
      <c r="K63" s="46">
        <f t="shared" si="12"/>
        <v>3000</v>
      </c>
      <c r="L63" s="46">
        <v>0</v>
      </c>
      <c r="M63" s="5">
        <f t="shared" si="13"/>
        <v>12900.366666666667</v>
      </c>
    </row>
    <row r="64" spans="1:13" ht="15" customHeight="1">
      <c r="A64" s="46">
        <v>11</v>
      </c>
      <c r="B64" s="50">
        <v>46185</v>
      </c>
      <c r="C64" s="48" t="s">
        <v>65</v>
      </c>
      <c r="D64" s="14" t="s">
        <v>70</v>
      </c>
      <c r="E64" s="46">
        <v>110</v>
      </c>
      <c r="F64" s="46">
        <v>0.5</v>
      </c>
      <c r="G64" s="46">
        <v>3</v>
      </c>
      <c r="H64" s="36">
        <f t="shared" si="10"/>
        <v>36.666666666666664</v>
      </c>
      <c r="I64" s="39">
        <v>95.81</v>
      </c>
      <c r="J64" s="37">
        <f t="shared" si="11"/>
        <v>3513.0333333333333</v>
      </c>
      <c r="K64" s="46">
        <f t="shared" si="12"/>
        <v>1500</v>
      </c>
      <c r="L64" s="46">
        <v>0</v>
      </c>
      <c r="M64" s="5">
        <f t="shared" si="13"/>
        <v>5013.0333333333328</v>
      </c>
    </row>
    <row r="65" spans="1:13" ht="15" customHeight="1">
      <c r="A65" s="46">
        <v>12</v>
      </c>
      <c r="B65" s="50">
        <v>46185</v>
      </c>
      <c r="C65" s="48" t="s">
        <v>65</v>
      </c>
      <c r="D65" s="14" t="s">
        <v>70</v>
      </c>
      <c r="E65" s="46">
        <v>110</v>
      </c>
      <c r="F65" s="46">
        <v>0.5</v>
      </c>
      <c r="G65" s="46">
        <v>3</v>
      </c>
      <c r="H65" s="36">
        <f t="shared" si="10"/>
        <v>36.666666666666664</v>
      </c>
      <c r="I65" s="39">
        <v>95.81</v>
      </c>
      <c r="J65" s="37">
        <f t="shared" si="11"/>
        <v>3513.0333333333333</v>
      </c>
      <c r="K65" s="46">
        <f t="shared" si="12"/>
        <v>1500</v>
      </c>
      <c r="L65" s="46">
        <v>0</v>
      </c>
      <c r="M65" s="5">
        <f t="shared" si="13"/>
        <v>5013.0333333333328</v>
      </c>
    </row>
    <row r="66" spans="1:13" ht="15" customHeight="1">
      <c r="A66" s="46">
        <v>13</v>
      </c>
      <c r="B66" s="50">
        <v>46186</v>
      </c>
      <c r="C66" s="48" t="s">
        <v>65</v>
      </c>
      <c r="D66" s="14" t="s">
        <v>70</v>
      </c>
      <c r="E66" s="46">
        <v>110</v>
      </c>
      <c r="F66" s="46">
        <v>0.5</v>
      </c>
      <c r="G66" s="46">
        <v>3</v>
      </c>
      <c r="H66" s="36">
        <f t="shared" si="10"/>
        <v>36.666666666666664</v>
      </c>
      <c r="I66" s="39">
        <v>95.81</v>
      </c>
      <c r="J66" s="37">
        <f t="shared" si="11"/>
        <v>3513.0333333333333</v>
      </c>
      <c r="K66" s="46">
        <f t="shared" si="12"/>
        <v>1500</v>
      </c>
      <c r="L66" s="46">
        <v>0</v>
      </c>
      <c r="M66" s="5">
        <f t="shared" si="13"/>
        <v>5013.0333333333328</v>
      </c>
    </row>
    <row r="67" spans="1:13" ht="15" customHeight="1">
      <c r="A67" s="46">
        <v>14</v>
      </c>
      <c r="B67" s="50">
        <v>46186</v>
      </c>
      <c r="C67" s="48" t="s">
        <v>65</v>
      </c>
      <c r="D67" s="14" t="s">
        <v>70</v>
      </c>
      <c r="E67" s="46">
        <v>110</v>
      </c>
      <c r="F67" s="46">
        <v>0.5</v>
      </c>
      <c r="G67" s="46">
        <v>3</v>
      </c>
      <c r="H67" s="36">
        <f t="shared" si="10"/>
        <v>36.666666666666664</v>
      </c>
      <c r="I67" s="39">
        <v>95.81</v>
      </c>
      <c r="J67" s="37">
        <f t="shared" si="11"/>
        <v>3513.0333333333333</v>
      </c>
      <c r="K67" s="46">
        <f t="shared" si="12"/>
        <v>1500</v>
      </c>
      <c r="L67" s="46">
        <v>0</v>
      </c>
      <c r="M67" s="5">
        <f t="shared" si="13"/>
        <v>5013.0333333333328</v>
      </c>
    </row>
    <row r="68" spans="1:13" ht="15" customHeight="1">
      <c r="A68" s="46">
        <v>15</v>
      </c>
      <c r="B68" s="50">
        <v>46187</v>
      </c>
      <c r="C68" s="48" t="s">
        <v>71</v>
      </c>
      <c r="D68" s="14" t="s">
        <v>70</v>
      </c>
      <c r="E68" s="46">
        <v>110</v>
      </c>
      <c r="F68" s="46">
        <v>0.5</v>
      </c>
      <c r="G68" s="46">
        <v>3</v>
      </c>
      <c r="H68" s="36">
        <f t="shared" si="10"/>
        <v>36.666666666666664</v>
      </c>
      <c r="I68" s="39">
        <v>95.81</v>
      </c>
      <c r="J68" s="37">
        <f t="shared" si="11"/>
        <v>3513.0333333333333</v>
      </c>
      <c r="K68" s="46">
        <f t="shared" si="12"/>
        <v>1500</v>
      </c>
      <c r="L68" s="46">
        <v>0</v>
      </c>
      <c r="M68" s="5">
        <f t="shared" si="13"/>
        <v>5013.0333333333328</v>
      </c>
    </row>
    <row r="69" spans="1:13" ht="15" customHeight="1">
      <c r="A69" s="46">
        <v>16</v>
      </c>
      <c r="B69" s="48" t="s">
        <v>46</v>
      </c>
      <c r="C69" s="48" t="s">
        <v>65</v>
      </c>
      <c r="D69" s="14" t="s">
        <v>17</v>
      </c>
      <c r="E69" s="43">
        <v>310</v>
      </c>
      <c r="F69" s="43">
        <v>1</v>
      </c>
      <c r="G69" s="46">
        <v>3</v>
      </c>
      <c r="H69" s="36">
        <f t="shared" si="10"/>
        <v>103.33333333333333</v>
      </c>
      <c r="I69" s="39">
        <v>95.81</v>
      </c>
      <c r="J69" s="37">
        <f t="shared" si="11"/>
        <v>9900.3666666666668</v>
      </c>
      <c r="K69" s="46">
        <f t="shared" si="12"/>
        <v>3000</v>
      </c>
      <c r="L69" s="46">
        <v>0</v>
      </c>
      <c r="M69" s="5">
        <f t="shared" si="13"/>
        <v>12900.366666666667</v>
      </c>
    </row>
    <row r="70" spans="1:13" ht="15.75" customHeight="1">
      <c r="A70" s="46">
        <v>17</v>
      </c>
      <c r="B70" s="48" t="s">
        <v>47</v>
      </c>
      <c r="C70" s="48" t="s">
        <v>65</v>
      </c>
      <c r="D70" s="14" t="s">
        <v>17</v>
      </c>
      <c r="E70" s="43">
        <v>310</v>
      </c>
      <c r="F70" s="43">
        <v>1</v>
      </c>
      <c r="G70" s="46">
        <v>3</v>
      </c>
      <c r="H70" s="36">
        <f t="shared" si="10"/>
        <v>103.33333333333333</v>
      </c>
      <c r="I70" s="39">
        <v>95.81</v>
      </c>
      <c r="J70" s="37">
        <f t="shared" si="11"/>
        <v>9900.3666666666668</v>
      </c>
      <c r="K70" s="46">
        <f t="shared" si="12"/>
        <v>3000</v>
      </c>
      <c r="L70" s="46">
        <v>0</v>
      </c>
      <c r="M70" s="5">
        <f t="shared" si="13"/>
        <v>12900.366666666667</v>
      </c>
    </row>
    <row r="71" spans="1:13" ht="15.75" customHeight="1">
      <c r="A71" s="46">
        <v>18</v>
      </c>
      <c r="B71" s="50">
        <v>46189</v>
      </c>
      <c r="C71" s="48" t="s">
        <v>71</v>
      </c>
      <c r="D71" s="14" t="s">
        <v>70</v>
      </c>
      <c r="E71" s="46">
        <v>110</v>
      </c>
      <c r="F71" s="46">
        <v>0.5</v>
      </c>
      <c r="G71" s="46">
        <v>3</v>
      </c>
      <c r="H71" s="36">
        <f t="shared" si="10"/>
        <v>36.666666666666664</v>
      </c>
      <c r="I71" s="39">
        <v>95.81</v>
      </c>
      <c r="J71" s="37">
        <f t="shared" si="11"/>
        <v>3513.0333333333333</v>
      </c>
      <c r="K71" s="46">
        <f t="shared" si="12"/>
        <v>1500</v>
      </c>
      <c r="L71" s="46">
        <v>0</v>
      </c>
      <c r="M71" s="5">
        <f t="shared" si="13"/>
        <v>5013.0333333333328</v>
      </c>
    </row>
    <row r="72" spans="1:13" ht="15.75" customHeight="1">
      <c r="A72" s="46">
        <v>19</v>
      </c>
      <c r="B72" s="48" t="s">
        <v>48</v>
      </c>
      <c r="C72" s="48" t="s">
        <v>65</v>
      </c>
      <c r="D72" s="14" t="s">
        <v>17</v>
      </c>
      <c r="E72" s="43">
        <v>310</v>
      </c>
      <c r="F72" s="43">
        <v>1</v>
      </c>
      <c r="G72" s="46">
        <v>3</v>
      </c>
      <c r="H72" s="36">
        <f t="shared" si="10"/>
        <v>103.33333333333333</v>
      </c>
      <c r="I72" s="39">
        <v>95.81</v>
      </c>
      <c r="J72" s="37">
        <f t="shared" si="11"/>
        <v>9900.3666666666668</v>
      </c>
      <c r="K72" s="46">
        <f t="shared" si="12"/>
        <v>3000</v>
      </c>
      <c r="L72" s="46">
        <v>0</v>
      </c>
      <c r="M72" s="5">
        <f t="shared" si="13"/>
        <v>12900.366666666667</v>
      </c>
    </row>
    <row r="73" spans="1:13" ht="15.75" customHeight="1">
      <c r="A73" s="46">
        <v>20</v>
      </c>
      <c r="B73" s="50">
        <v>46191</v>
      </c>
      <c r="C73" s="48" t="s">
        <v>71</v>
      </c>
      <c r="D73" s="14" t="s">
        <v>70</v>
      </c>
      <c r="E73" s="46">
        <v>110</v>
      </c>
      <c r="F73" s="46">
        <v>0.5</v>
      </c>
      <c r="G73" s="46">
        <v>3</v>
      </c>
      <c r="H73" s="36">
        <f t="shared" si="10"/>
        <v>36.666666666666664</v>
      </c>
      <c r="I73" s="39">
        <v>95.81</v>
      </c>
      <c r="J73" s="37">
        <f t="shared" si="11"/>
        <v>3513.0333333333333</v>
      </c>
      <c r="K73" s="46">
        <f t="shared" si="12"/>
        <v>1500</v>
      </c>
      <c r="L73" s="46">
        <v>0</v>
      </c>
      <c r="M73" s="5">
        <f t="shared" si="13"/>
        <v>5013.0333333333328</v>
      </c>
    </row>
    <row r="74" spans="1:13" ht="15.75" customHeight="1">
      <c r="A74" s="46">
        <v>21</v>
      </c>
      <c r="B74" s="50">
        <v>46192</v>
      </c>
      <c r="C74" s="48" t="s">
        <v>71</v>
      </c>
      <c r="D74" s="14" t="s">
        <v>70</v>
      </c>
      <c r="E74" s="46">
        <v>110</v>
      </c>
      <c r="F74" s="46">
        <v>0.5</v>
      </c>
      <c r="G74" s="46">
        <v>3</v>
      </c>
      <c r="H74" s="36">
        <f t="shared" si="10"/>
        <v>36.666666666666664</v>
      </c>
      <c r="I74" s="39">
        <v>95.81</v>
      </c>
      <c r="J74" s="37">
        <f t="shared" si="11"/>
        <v>3513.0333333333333</v>
      </c>
      <c r="K74" s="46">
        <f t="shared" si="12"/>
        <v>1500</v>
      </c>
      <c r="L74" s="46">
        <v>0</v>
      </c>
      <c r="M74" s="5">
        <f t="shared" si="13"/>
        <v>5013.0333333333328</v>
      </c>
    </row>
    <row r="75" spans="1:13" ht="15" customHeight="1">
      <c r="A75" s="46">
        <v>22</v>
      </c>
      <c r="B75" s="48" t="s">
        <v>50</v>
      </c>
      <c r="C75" s="48" t="s">
        <v>65</v>
      </c>
      <c r="D75" s="14" t="s">
        <v>17</v>
      </c>
      <c r="E75" s="43">
        <v>310</v>
      </c>
      <c r="F75" s="43">
        <v>1</v>
      </c>
      <c r="G75" s="46">
        <v>3</v>
      </c>
      <c r="H75" s="36">
        <f t="shared" si="10"/>
        <v>103.33333333333333</v>
      </c>
      <c r="I75" s="39">
        <v>95.81</v>
      </c>
      <c r="J75" s="37">
        <f t="shared" si="11"/>
        <v>9900.3666666666668</v>
      </c>
      <c r="K75" s="46">
        <f t="shared" si="12"/>
        <v>3000</v>
      </c>
      <c r="L75" s="46">
        <v>0</v>
      </c>
      <c r="M75" s="5">
        <f t="shared" si="13"/>
        <v>12900.366666666667</v>
      </c>
    </row>
    <row r="76" spans="1:13" ht="15" customHeight="1">
      <c r="A76" s="46">
        <v>23</v>
      </c>
      <c r="B76" s="48" t="s">
        <v>51</v>
      </c>
      <c r="C76" s="48" t="s">
        <v>65</v>
      </c>
      <c r="D76" s="14" t="s">
        <v>17</v>
      </c>
      <c r="E76" s="43">
        <v>310</v>
      </c>
      <c r="F76" s="43">
        <v>1</v>
      </c>
      <c r="G76" s="46">
        <v>3</v>
      </c>
      <c r="H76" s="36">
        <f t="shared" si="10"/>
        <v>103.33333333333333</v>
      </c>
      <c r="I76" s="39">
        <v>95.81</v>
      </c>
      <c r="J76" s="37">
        <f t="shared" si="11"/>
        <v>9900.3666666666668</v>
      </c>
      <c r="K76" s="46">
        <f t="shared" si="12"/>
        <v>3000</v>
      </c>
      <c r="L76" s="46">
        <v>0</v>
      </c>
      <c r="M76" s="5">
        <f t="shared" si="13"/>
        <v>12900.366666666667</v>
      </c>
    </row>
    <row r="77" spans="1:13" ht="15" customHeight="1">
      <c r="A77" s="46">
        <v>24</v>
      </c>
      <c r="B77" s="50">
        <v>46194</v>
      </c>
      <c r="C77" s="48" t="s">
        <v>71</v>
      </c>
      <c r="D77" s="14" t="s">
        <v>70</v>
      </c>
      <c r="E77" s="46">
        <v>110</v>
      </c>
      <c r="F77" s="46">
        <v>0.5</v>
      </c>
      <c r="G77" s="46">
        <v>3</v>
      </c>
      <c r="H77" s="36">
        <f t="shared" si="10"/>
        <v>36.666666666666664</v>
      </c>
      <c r="I77" s="39">
        <v>95.81</v>
      </c>
      <c r="J77" s="37">
        <f t="shared" si="11"/>
        <v>3513.0333333333333</v>
      </c>
      <c r="K77" s="46">
        <f t="shared" si="12"/>
        <v>1500</v>
      </c>
      <c r="L77" s="46">
        <v>0</v>
      </c>
      <c r="M77" s="5">
        <f t="shared" si="13"/>
        <v>5013.0333333333328</v>
      </c>
    </row>
    <row r="78" spans="1:13" ht="15" customHeight="1">
      <c r="A78" s="46">
        <v>25</v>
      </c>
      <c r="B78" s="48" t="s">
        <v>52</v>
      </c>
      <c r="C78" s="48" t="s">
        <v>65</v>
      </c>
      <c r="D78" s="14" t="s">
        <v>17</v>
      </c>
      <c r="E78" s="43">
        <v>310</v>
      </c>
      <c r="F78" s="43">
        <v>1</v>
      </c>
      <c r="G78" s="46">
        <v>3</v>
      </c>
      <c r="H78" s="36">
        <f t="shared" si="10"/>
        <v>103.33333333333333</v>
      </c>
      <c r="I78" s="39">
        <v>95.81</v>
      </c>
      <c r="J78" s="37">
        <f t="shared" si="11"/>
        <v>9900.3666666666668</v>
      </c>
      <c r="K78" s="46">
        <f t="shared" si="12"/>
        <v>3000</v>
      </c>
      <c r="L78" s="46">
        <v>0</v>
      </c>
      <c r="M78" s="5">
        <f t="shared" si="13"/>
        <v>12900.366666666667</v>
      </c>
    </row>
    <row r="79" spans="1:13" ht="15" customHeight="1">
      <c r="A79" s="46">
        <v>26</v>
      </c>
      <c r="B79" s="48" t="s">
        <v>54</v>
      </c>
      <c r="C79" s="48" t="s">
        <v>65</v>
      </c>
      <c r="D79" s="14" t="s">
        <v>17</v>
      </c>
      <c r="E79" s="43">
        <v>310</v>
      </c>
      <c r="F79" s="43">
        <v>1</v>
      </c>
      <c r="G79" s="46">
        <v>3</v>
      </c>
      <c r="H79" s="36">
        <f t="shared" si="10"/>
        <v>103.33333333333333</v>
      </c>
      <c r="I79" s="39">
        <v>95.81</v>
      </c>
      <c r="J79" s="37">
        <f t="shared" si="11"/>
        <v>9900.3666666666668</v>
      </c>
      <c r="K79" s="46">
        <f t="shared" si="12"/>
        <v>3000</v>
      </c>
      <c r="L79" s="46">
        <v>0</v>
      </c>
      <c r="M79" s="5">
        <f t="shared" si="13"/>
        <v>12900.366666666667</v>
      </c>
    </row>
    <row r="80" spans="1:13" ht="15" customHeight="1">
      <c r="A80" s="46">
        <v>27</v>
      </c>
      <c r="B80" s="50">
        <v>46197</v>
      </c>
      <c r="C80" s="48" t="s">
        <v>71</v>
      </c>
      <c r="D80" s="14" t="s">
        <v>70</v>
      </c>
      <c r="E80" s="46">
        <v>110</v>
      </c>
      <c r="F80" s="46">
        <v>0.5</v>
      </c>
      <c r="G80" s="46">
        <v>3</v>
      </c>
      <c r="H80" s="36">
        <f t="shared" si="10"/>
        <v>36.666666666666664</v>
      </c>
      <c r="I80" s="39">
        <v>95.81</v>
      </c>
      <c r="J80" s="37">
        <f t="shared" si="11"/>
        <v>3513.0333333333333</v>
      </c>
      <c r="K80" s="46">
        <f t="shared" si="12"/>
        <v>1500</v>
      </c>
      <c r="L80" s="46">
        <v>0</v>
      </c>
      <c r="M80" s="5">
        <f t="shared" si="13"/>
        <v>5013.0333333333328</v>
      </c>
    </row>
    <row r="81" spans="1:17" ht="15" customHeight="1">
      <c r="A81" s="46">
        <v>28</v>
      </c>
      <c r="B81" s="48" t="s">
        <v>55</v>
      </c>
      <c r="C81" s="48" t="s">
        <v>65</v>
      </c>
      <c r="D81" s="14" t="s">
        <v>17</v>
      </c>
      <c r="E81" s="43">
        <v>310</v>
      </c>
      <c r="F81" s="43">
        <v>1</v>
      </c>
      <c r="G81" s="46">
        <v>3</v>
      </c>
      <c r="H81" s="36">
        <f t="shared" si="10"/>
        <v>103.33333333333333</v>
      </c>
      <c r="I81" s="39">
        <v>95.81</v>
      </c>
      <c r="J81" s="37">
        <f t="shared" si="11"/>
        <v>9900.3666666666668</v>
      </c>
      <c r="K81" s="46">
        <f t="shared" si="12"/>
        <v>3000</v>
      </c>
      <c r="L81" s="46">
        <v>0</v>
      </c>
      <c r="M81" s="5">
        <f t="shared" si="13"/>
        <v>12900.366666666667</v>
      </c>
    </row>
    <row r="82" spans="1:17" ht="15" customHeight="1">
      <c r="A82" s="46">
        <v>29</v>
      </c>
      <c r="B82" s="50">
        <v>46199</v>
      </c>
      <c r="C82" s="48" t="s">
        <v>71</v>
      </c>
      <c r="D82" s="14" t="s">
        <v>70</v>
      </c>
      <c r="E82" s="46">
        <v>110</v>
      </c>
      <c r="F82" s="46">
        <v>0.5</v>
      </c>
      <c r="G82" s="46">
        <v>3</v>
      </c>
      <c r="H82" s="36">
        <f t="shared" si="10"/>
        <v>36.666666666666664</v>
      </c>
      <c r="I82" s="39">
        <v>95.81</v>
      </c>
      <c r="J82" s="37">
        <f t="shared" si="11"/>
        <v>3513.0333333333333</v>
      </c>
      <c r="K82" s="46">
        <f t="shared" si="12"/>
        <v>1500</v>
      </c>
      <c r="L82" s="46">
        <v>0</v>
      </c>
      <c r="M82" s="5">
        <f t="shared" si="13"/>
        <v>5013.0333333333328</v>
      </c>
    </row>
    <row r="83" spans="1:17" ht="15" customHeight="1">
      <c r="A83" s="46">
        <v>30</v>
      </c>
      <c r="B83" s="48" t="s">
        <v>58</v>
      </c>
      <c r="C83" s="48" t="s">
        <v>65</v>
      </c>
      <c r="D83" s="14" t="s">
        <v>17</v>
      </c>
      <c r="E83" s="43">
        <v>310</v>
      </c>
      <c r="F83" s="43">
        <v>1</v>
      </c>
      <c r="G83" s="42">
        <v>3</v>
      </c>
      <c r="H83" s="36">
        <f t="shared" ref="H83:H88" si="14">E83/G83</f>
        <v>103.33333333333333</v>
      </c>
      <c r="I83" s="39">
        <v>95.81</v>
      </c>
      <c r="J83" s="38">
        <f t="shared" ref="J83:J88" si="15">I83*H83</f>
        <v>9900.3666666666668</v>
      </c>
      <c r="K83" s="41">
        <f t="shared" ref="K83:K88" si="16">SUM(F83*3000)</f>
        <v>3000</v>
      </c>
      <c r="L83" s="43">
        <v>0</v>
      </c>
      <c r="M83" s="5">
        <f t="shared" ref="M83:M88" si="17">SUM(J83:L83)</f>
        <v>12900.366666666667</v>
      </c>
    </row>
    <row r="84" spans="1:17" ht="15" customHeight="1">
      <c r="A84" s="46">
        <v>31</v>
      </c>
      <c r="B84" s="50">
        <v>46201</v>
      </c>
      <c r="C84" s="48" t="s">
        <v>65</v>
      </c>
      <c r="D84" s="14" t="s">
        <v>70</v>
      </c>
      <c r="E84" s="46">
        <v>110</v>
      </c>
      <c r="F84" s="46">
        <v>0.5</v>
      </c>
      <c r="G84" s="46">
        <v>3</v>
      </c>
      <c r="H84" s="36">
        <f t="shared" ref="H84:H87" si="18">E84/G84</f>
        <v>36.666666666666664</v>
      </c>
      <c r="I84" s="39">
        <v>95.81</v>
      </c>
      <c r="J84" s="38">
        <f t="shared" ref="J84:J87" si="19">I84*H84</f>
        <v>3513.0333333333333</v>
      </c>
      <c r="K84" s="45">
        <f t="shared" ref="K84:K87" si="20">SUM(F84*3000)</f>
        <v>1500</v>
      </c>
      <c r="L84" s="46">
        <v>0</v>
      </c>
      <c r="M84" s="5">
        <f t="shared" ref="M84:M87" si="21">SUM(J84:L84)</f>
        <v>5013.0333333333328</v>
      </c>
    </row>
    <row r="85" spans="1:17" ht="15" customHeight="1">
      <c r="A85" s="46">
        <v>32</v>
      </c>
      <c r="B85" s="50">
        <v>46201</v>
      </c>
      <c r="C85" s="48" t="s">
        <v>65</v>
      </c>
      <c r="D85" s="14" t="s">
        <v>70</v>
      </c>
      <c r="E85" s="46">
        <v>110</v>
      </c>
      <c r="F85" s="46">
        <v>0.5</v>
      </c>
      <c r="G85" s="46">
        <v>3</v>
      </c>
      <c r="H85" s="36">
        <f t="shared" si="18"/>
        <v>36.666666666666664</v>
      </c>
      <c r="I85" s="39">
        <v>95.81</v>
      </c>
      <c r="J85" s="38">
        <f t="shared" si="19"/>
        <v>3513.0333333333333</v>
      </c>
      <c r="K85" s="45">
        <f t="shared" si="20"/>
        <v>1500</v>
      </c>
      <c r="L85" s="46">
        <v>0</v>
      </c>
      <c r="M85" s="5">
        <f t="shared" si="21"/>
        <v>5013.0333333333328</v>
      </c>
      <c r="O85" t="s">
        <v>19</v>
      </c>
    </row>
    <row r="86" spans="1:17" ht="15" customHeight="1">
      <c r="A86" s="46">
        <v>33</v>
      </c>
      <c r="B86" s="48" t="s">
        <v>60</v>
      </c>
      <c r="C86" s="48" t="s">
        <v>65</v>
      </c>
      <c r="D86" s="14" t="s">
        <v>17</v>
      </c>
      <c r="E86" s="43">
        <v>310</v>
      </c>
      <c r="F86" s="43">
        <v>1</v>
      </c>
      <c r="G86" s="46">
        <v>3</v>
      </c>
      <c r="H86" s="36">
        <f t="shared" si="18"/>
        <v>103.33333333333333</v>
      </c>
      <c r="I86" s="39">
        <v>95.81</v>
      </c>
      <c r="J86" s="38">
        <f t="shared" si="19"/>
        <v>9900.3666666666668</v>
      </c>
      <c r="K86" s="45">
        <f t="shared" si="20"/>
        <v>3000</v>
      </c>
      <c r="L86" s="46">
        <v>0</v>
      </c>
      <c r="M86" s="5">
        <f t="shared" si="21"/>
        <v>12900.366666666667</v>
      </c>
      <c r="O86" t="s">
        <v>19</v>
      </c>
    </row>
    <row r="87" spans="1:17" ht="15" customHeight="1">
      <c r="A87" s="46">
        <v>34</v>
      </c>
      <c r="B87" s="50">
        <v>46203</v>
      </c>
      <c r="C87" s="48" t="s">
        <v>65</v>
      </c>
      <c r="D87" s="14" t="s">
        <v>70</v>
      </c>
      <c r="E87" s="46">
        <v>110</v>
      </c>
      <c r="F87" s="46">
        <v>0.5</v>
      </c>
      <c r="G87" s="46">
        <v>3</v>
      </c>
      <c r="H87" s="36">
        <f t="shared" si="18"/>
        <v>36.666666666666664</v>
      </c>
      <c r="I87" s="39">
        <v>95.81</v>
      </c>
      <c r="J87" s="38">
        <f t="shared" si="19"/>
        <v>3513.0333333333333</v>
      </c>
      <c r="K87" s="45">
        <f t="shared" si="20"/>
        <v>1500</v>
      </c>
      <c r="L87" s="46">
        <v>0</v>
      </c>
      <c r="M87" s="5">
        <f t="shared" si="21"/>
        <v>5013.0333333333328</v>
      </c>
      <c r="O87" t="s">
        <v>19</v>
      </c>
    </row>
    <row r="88" spans="1:17" ht="15" customHeight="1">
      <c r="A88" s="46">
        <v>35</v>
      </c>
      <c r="B88" s="48" t="s">
        <v>61</v>
      </c>
      <c r="C88" s="48" t="s">
        <v>65</v>
      </c>
      <c r="D88" s="14" t="s">
        <v>17</v>
      </c>
      <c r="E88" s="43">
        <v>310</v>
      </c>
      <c r="F88" s="43">
        <v>1</v>
      </c>
      <c r="G88" s="42">
        <v>3</v>
      </c>
      <c r="H88" s="36">
        <f t="shared" si="14"/>
        <v>103.33333333333333</v>
      </c>
      <c r="I88" s="39">
        <v>95.81</v>
      </c>
      <c r="J88" s="38">
        <f t="shared" si="15"/>
        <v>9900.3666666666668</v>
      </c>
      <c r="K88" s="41">
        <f t="shared" si="16"/>
        <v>3000</v>
      </c>
      <c r="L88" s="43">
        <v>0</v>
      </c>
      <c r="M88" s="5">
        <f t="shared" si="17"/>
        <v>12900.366666666667</v>
      </c>
      <c r="O88" t="s">
        <v>19</v>
      </c>
      <c r="P88" t="s">
        <v>19</v>
      </c>
      <c r="Q88" t="s">
        <v>19</v>
      </c>
    </row>
    <row r="89" spans="1:17" ht="15.75">
      <c r="A89" s="78" t="s">
        <v>18</v>
      </c>
      <c r="B89" s="79"/>
      <c r="C89" s="79"/>
      <c r="D89" s="80"/>
      <c r="E89" s="7">
        <f>SUM(E54:E88)</f>
        <v>7250</v>
      </c>
      <c r="F89" s="7">
        <f t="shared" ref="F89:M89" si="22">SUM(F54:F88)</f>
        <v>26</v>
      </c>
      <c r="G89" s="7" t="s">
        <v>19</v>
      </c>
      <c r="H89" s="7">
        <f t="shared" si="22"/>
        <v>2416.6666666666661</v>
      </c>
      <c r="I89" s="7" t="s">
        <v>19</v>
      </c>
      <c r="J89" s="7">
        <f t="shared" si="22"/>
        <v>231540.83333333334</v>
      </c>
      <c r="K89" s="7">
        <f t="shared" si="22"/>
        <v>78000</v>
      </c>
      <c r="L89" s="7">
        <f t="shared" si="22"/>
        <v>445</v>
      </c>
      <c r="M89" s="7">
        <f t="shared" si="22"/>
        <v>309985.8333333332</v>
      </c>
      <c r="O89" t="s">
        <v>19</v>
      </c>
    </row>
    <row r="90" spans="1:17" ht="75" customHeight="1">
      <c r="A90" s="62" t="s">
        <v>20</v>
      </c>
      <c r="B90" s="62"/>
      <c r="C90" s="62"/>
      <c r="D90" s="62"/>
      <c r="E90" s="62"/>
      <c r="F90" s="62"/>
      <c r="G90" s="62"/>
      <c r="H90" s="76"/>
      <c r="I90" s="81"/>
      <c r="J90" s="76"/>
      <c r="K90" s="76"/>
      <c r="L90" s="76"/>
      <c r="M90" s="76"/>
    </row>
    <row r="91" spans="1:17" ht="15.75">
      <c r="A91" s="62"/>
      <c r="B91" s="62"/>
      <c r="C91" s="62"/>
      <c r="D91" s="62"/>
      <c r="E91" s="62"/>
      <c r="F91" s="62"/>
      <c r="G91" s="62"/>
      <c r="H91" s="77" t="s">
        <v>21</v>
      </c>
      <c r="I91" s="77"/>
      <c r="J91" s="77"/>
      <c r="K91" s="77"/>
      <c r="L91" s="77"/>
      <c r="M91" s="77"/>
      <c r="O91" t="s">
        <v>19</v>
      </c>
    </row>
    <row r="94" spans="1:17">
      <c r="A94" s="69" t="s">
        <v>75</v>
      </c>
      <c r="B94" s="69"/>
      <c r="C94" s="69"/>
      <c r="D94" s="69"/>
      <c r="E94" s="69"/>
      <c r="F94" s="69"/>
      <c r="G94" s="69"/>
      <c r="H94" s="69"/>
      <c r="I94" s="69"/>
      <c r="J94" s="69"/>
      <c r="K94" s="69"/>
      <c r="L94" s="69"/>
      <c r="M94" s="69"/>
    </row>
    <row r="95" spans="1:17" ht="65.099999999999994" customHeight="1">
      <c r="A95" s="70" t="s">
        <v>24</v>
      </c>
      <c r="B95" s="70"/>
      <c r="C95" s="70"/>
      <c r="D95" s="70"/>
      <c r="E95" s="70"/>
      <c r="F95" s="70"/>
      <c r="G95" s="71" t="s">
        <v>25</v>
      </c>
      <c r="H95" s="71"/>
      <c r="I95" s="71"/>
      <c r="J95" s="71"/>
      <c r="K95" s="71"/>
      <c r="L95" s="71"/>
      <c r="M95" s="71"/>
    </row>
    <row r="96" spans="1:17">
      <c r="A96" s="72" t="s">
        <v>26</v>
      </c>
      <c r="B96" s="72"/>
      <c r="C96" s="72"/>
      <c r="D96" s="72"/>
      <c r="E96" s="72"/>
      <c r="F96" s="56"/>
      <c r="G96" s="56" t="s">
        <v>62</v>
      </c>
      <c r="H96" s="57"/>
      <c r="I96" s="57"/>
      <c r="J96" s="57"/>
      <c r="K96" s="57"/>
      <c r="L96" s="57"/>
      <c r="M96" s="58"/>
    </row>
    <row r="97" spans="1:17">
      <c r="A97" s="72" t="s">
        <v>23</v>
      </c>
      <c r="B97" s="72"/>
      <c r="C97" s="72"/>
      <c r="D97" s="72"/>
      <c r="E97" s="72"/>
      <c r="F97" s="56"/>
      <c r="G97" s="56" t="s">
        <v>63</v>
      </c>
      <c r="H97" s="57"/>
      <c r="I97" s="57"/>
      <c r="J97" s="57"/>
      <c r="K97" s="57"/>
      <c r="L97" s="57"/>
      <c r="M97" s="58"/>
    </row>
    <row r="98" spans="1:17" ht="45">
      <c r="A98" s="1" t="s">
        <v>4</v>
      </c>
      <c r="B98" s="1" t="s">
        <v>5</v>
      </c>
      <c r="C98" s="10" t="s">
        <v>6</v>
      </c>
      <c r="D98" s="1" t="s">
        <v>7</v>
      </c>
      <c r="E98" s="1" t="s">
        <v>8</v>
      </c>
      <c r="F98" s="1" t="s">
        <v>9</v>
      </c>
      <c r="G98" s="11" t="s">
        <v>10</v>
      </c>
      <c r="H98" s="11" t="s">
        <v>11</v>
      </c>
      <c r="I98" s="11" t="s">
        <v>12</v>
      </c>
      <c r="J98" s="11" t="s">
        <v>13</v>
      </c>
      <c r="K98" s="11" t="s">
        <v>14</v>
      </c>
      <c r="L98" s="11" t="s">
        <v>15</v>
      </c>
      <c r="M98" s="11" t="s">
        <v>16</v>
      </c>
    </row>
    <row r="99" spans="1:17">
      <c r="A99" s="42">
        <v>1</v>
      </c>
      <c r="B99" s="48" t="s">
        <v>39</v>
      </c>
      <c r="C99" s="48" t="s">
        <v>64</v>
      </c>
      <c r="D99" s="43" t="s">
        <v>17</v>
      </c>
      <c r="E99" s="42">
        <v>652</v>
      </c>
      <c r="F99" s="42">
        <v>1.5</v>
      </c>
      <c r="G99" s="42">
        <v>3</v>
      </c>
      <c r="H99" s="5">
        <f t="shared" ref="H99" si="23">E99/G99</f>
        <v>217.33333333333334</v>
      </c>
      <c r="I99" s="4">
        <v>95.81</v>
      </c>
      <c r="J99" s="5">
        <f t="shared" ref="J99" si="24">I99*H99</f>
        <v>20822.706666666669</v>
      </c>
      <c r="K99" s="42">
        <f t="shared" ref="K99" si="25">SUM(F99*3000)</f>
        <v>4500</v>
      </c>
      <c r="L99" s="42">
        <f>955+415+470+610+670+330+305+240+205+480</f>
        <v>4680</v>
      </c>
      <c r="M99" s="5">
        <f t="shared" ref="M99" si="26">SUM(L99,K99,J99,)</f>
        <v>30002.706666666669</v>
      </c>
    </row>
    <row r="100" spans="1:17">
      <c r="A100" s="42">
        <v>2</v>
      </c>
      <c r="B100" s="48" t="s">
        <v>41</v>
      </c>
      <c r="C100" s="48" t="s">
        <v>64</v>
      </c>
      <c r="D100" s="40" t="s">
        <v>17</v>
      </c>
      <c r="E100" s="2">
        <v>652</v>
      </c>
      <c r="F100" s="2">
        <v>1.5</v>
      </c>
      <c r="G100" s="2">
        <v>3</v>
      </c>
      <c r="H100" s="5">
        <f>E100/G100</f>
        <v>217.33333333333334</v>
      </c>
      <c r="I100" s="4">
        <v>95.81</v>
      </c>
      <c r="J100" s="5">
        <f>I100*H100</f>
        <v>20822.706666666669</v>
      </c>
      <c r="K100" s="2">
        <f>SUM(F100*3000)</f>
        <v>4500</v>
      </c>
      <c r="L100" s="2">
        <f>955+415+470+610+670+330+305+240+205+480</f>
        <v>4680</v>
      </c>
      <c r="M100" s="5">
        <f>SUM(L100,K100,J100,)</f>
        <v>30002.706666666669</v>
      </c>
    </row>
    <row r="101" spans="1:17">
      <c r="A101" s="42">
        <v>3</v>
      </c>
      <c r="B101" s="48" t="s">
        <v>43</v>
      </c>
      <c r="C101" s="48" t="s">
        <v>64</v>
      </c>
      <c r="D101" s="40" t="s">
        <v>17</v>
      </c>
      <c r="E101" s="33">
        <v>652</v>
      </c>
      <c r="F101" s="40">
        <v>1.5</v>
      </c>
      <c r="G101" s="29">
        <v>3</v>
      </c>
      <c r="H101" s="5">
        <f t="shared" ref="H101:H103" si="27">E101/G101</f>
        <v>217.33333333333334</v>
      </c>
      <c r="I101" s="4">
        <v>95.81</v>
      </c>
      <c r="J101" s="5">
        <f t="shared" ref="J101:J103" si="28">I101*H101</f>
        <v>20822.706666666669</v>
      </c>
      <c r="K101" s="29">
        <f t="shared" ref="K101:K103" si="29">SUM(F101*3000)</f>
        <v>4500</v>
      </c>
      <c r="L101" s="29">
        <f>955+415+470+610+670+330+305+240+205+480</f>
        <v>4680</v>
      </c>
      <c r="M101" s="5">
        <f t="shared" ref="M101:M103" si="30">SUM(L101,K101,J101,)</f>
        <v>30002.706666666669</v>
      </c>
    </row>
    <row r="102" spans="1:17" s="27" customFormat="1">
      <c r="A102" s="42">
        <v>4</v>
      </c>
      <c r="B102" s="48" t="s">
        <v>46</v>
      </c>
      <c r="C102" s="48" t="s">
        <v>64</v>
      </c>
      <c r="D102" s="40" t="s">
        <v>17</v>
      </c>
      <c r="E102" s="40">
        <v>652</v>
      </c>
      <c r="F102" s="40">
        <v>1.5</v>
      </c>
      <c r="G102" s="20">
        <v>3</v>
      </c>
      <c r="H102" s="5">
        <f t="shared" si="27"/>
        <v>217.33333333333334</v>
      </c>
      <c r="I102" s="4">
        <v>95.81</v>
      </c>
      <c r="J102" s="5">
        <f t="shared" si="28"/>
        <v>20822.706666666669</v>
      </c>
      <c r="K102" s="29">
        <f t="shared" si="29"/>
        <v>4500</v>
      </c>
      <c r="L102" s="29">
        <f>955+415+470+610+670+670+610+470+415+955</f>
        <v>6240</v>
      </c>
      <c r="M102" s="5">
        <f t="shared" si="30"/>
        <v>31562.706666666669</v>
      </c>
    </row>
    <row r="103" spans="1:17">
      <c r="A103" s="42">
        <v>5</v>
      </c>
      <c r="B103" s="48" t="s">
        <v>48</v>
      </c>
      <c r="C103" s="48" t="s">
        <v>64</v>
      </c>
      <c r="D103" s="40" t="s">
        <v>17</v>
      </c>
      <c r="E103" s="40">
        <v>652</v>
      </c>
      <c r="F103" s="40">
        <v>1.5</v>
      </c>
      <c r="G103" s="2">
        <v>3</v>
      </c>
      <c r="H103" s="5">
        <f t="shared" si="27"/>
        <v>217.33333333333334</v>
      </c>
      <c r="I103" s="4">
        <v>95.81</v>
      </c>
      <c r="J103" s="5">
        <f t="shared" si="28"/>
        <v>20822.706666666669</v>
      </c>
      <c r="K103" s="29">
        <f t="shared" si="29"/>
        <v>4500</v>
      </c>
      <c r="L103" s="29">
        <f>955+415+470+610+670+330+305+240+205+480</f>
        <v>4680</v>
      </c>
      <c r="M103" s="5">
        <f t="shared" si="30"/>
        <v>30002.706666666669</v>
      </c>
      <c r="O103" t="s">
        <v>19</v>
      </c>
    </row>
    <row r="104" spans="1:17" ht="15.75">
      <c r="A104" s="78" t="s">
        <v>18</v>
      </c>
      <c r="B104" s="79"/>
      <c r="C104" s="79"/>
      <c r="D104" s="80"/>
      <c r="E104" s="12">
        <f>SUM(E98:E103)</f>
        <v>3260</v>
      </c>
      <c r="F104" s="12">
        <f>SUM(F98:F103)</f>
        <v>7.5</v>
      </c>
      <c r="G104" s="12" t="s">
        <v>19</v>
      </c>
      <c r="H104" s="12">
        <f>SUM(H98:H103)</f>
        <v>1086.6666666666667</v>
      </c>
      <c r="I104" s="12" t="s">
        <v>19</v>
      </c>
      <c r="J104" s="12">
        <f>SUM(J98:J103)</f>
        <v>104113.53333333334</v>
      </c>
      <c r="K104" s="12">
        <f>SUM(K98:K103)</f>
        <v>22500</v>
      </c>
      <c r="L104" s="12">
        <f>SUM(L98:L103)</f>
        <v>24960</v>
      </c>
      <c r="M104" s="12">
        <f>SUM(M98:M103)</f>
        <v>151573.53333333335</v>
      </c>
      <c r="O104" t="s">
        <v>19</v>
      </c>
      <c r="P104" t="s">
        <v>19</v>
      </c>
      <c r="Q104" t="s">
        <v>19</v>
      </c>
    </row>
    <row r="105" spans="1:17" ht="75" customHeight="1">
      <c r="A105" s="62" t="s">
        <v>20</v>
      </c>
      <c r="B105" s="62"/>
      <c r="C105" s="62"/>
      <c r="D105" s="62"/>
      <c r="E105" s="62"/>
      <c r="F105" s="62"/>
      <c r="G105" s="62"/>
      <c r="H105" s="76"/>
      <c r="I105" s="76"/>
      <c r="J105" s="76"/>
      <c r="K105" s="76"/>
      <c r="L105" s="76"/>
      <c r="M105" s="76"/>
    </row>
    <row r="106" spans="1:17">
      <c r="A106" s="62"/>
      <c r="B106" s="62"/>
      <c r="C106" s="62"/>
      <c r="D106" s="62"/>
      <c r="E106" s="62"/>
      <c r="F106" s="62"/>
      <c r="G106" s="62"/>
      <c r="H106" s="72" t="s">
        <v>21</v>
      </c>
      <c r="I106" s="72"/>
      <c r="J106" s="72"/>
      <c r="K106" s="72"/>
      <c r="L106" s="72"/>
      <c r="M106" s="72"/>
    </row>
    <row r="139" spans="1:17">
      <c r="A139" s="69" t="s">
        <v>76</v>
      </c>
      <c r="B139" s="69"/>
      <c r="C139" s="69"/>
      <c r="D139" s="69"/>
      <c r="E139" s="69"/>
      <c r="F139" s="69"/>
      <c r="G139" s="69"/>
      <c r="H139" s="69"/>
      <c r="I139" s="69"/>
      <c r="J139" s="69"/>
      <c r="K139" s="69"/>
      <c r="L139" s="69"/>
      <c r="M139" s="69"/>
    </row>
    <row r="140" spans="1:17" ht="66" customHeight="1">
      <c r="A140" s="70" t="s">
        <v>24</v>
      </c>
      <c r="B140" s="70"/>
      <c r="C140" s="70"/>
      <c r="D140" s="70"/>
      <c r="E140" s="70"/>
      <c r="F140" s="70"/>
      <c r="G140" s="71" t="s">
        <v>25</v>
      </c>
      <c r="H140" s="71"/>
      <c r="I140" s="71"/>
      <c r="J140" s="71"/>
      <c r="K140" s="71"/>
      <c r="L140" s="71"/>
      <c r="M140" s="71"/>
      <c r="Q140" t="s">
        <v>19</v>
      </c>
    </row>
    <row r="141" spans="1:17">
      <c r="A141" s="72" t="s">
        <v>29</v>
      </c>
      <c r="B141" s="72"/>
      <c r="C141" s="72"/>
      <c r="D141" s="72"/>
      <c r="E141" s="72"/>
      <c r="F141" s="72"/>
      <c r="G141" s="56" t="s">
        <v>62</v>
      </c>
      <c r="H141" s="57"/>
      <c r="I141" s="57"/>
      <c r="J141" s="57"/>
      <c r="K141" s="57"/>
      <c r="L141" s="57"/>
      <c r="M141" s="58"/>
    </row>
    <row r="142" spans="1:17">
      <c r="A142" s="72" t="s">
        <v>27</v>
      </c>
      <c r="B142" s="72"/>
      <c r="C142" s="72"/>
      <c r="D142" s="72"/>
      <c r="E142" s="72"/>
      <c r="F142" s="72"/>
      <c r="G142" s="56" t="s">
        <v>63</v>
      </c>
      <c r="H142" s="57"/>
      <c r="I142" s="57"/>
      <c r="J142" s="57"/>
      <c r="K142" s="57"/>
      <c r="L142" s="57"/>
      <c r="M142" s="58"/>
    </row>
    <row r="143" spans="1:17" ht="35.25" customHeight="1">
      <c r="A143" s="17" t="s">
        <v>4</v>
      </c>
      <c r="B143" s="17" t="s">
        <v>5</v>
      </c>
      <c r="C143" s="17" t="s">
        <v>6</v>
      </c>
      <c r="D143" s="17" t="s">
        <v>7</v>
      </c>
      <c r="E143" s="17" t="s">
        <v>8</v>
      </c>
      <c r="F143" s="17" t="s">
        <v>9</v>
      </c>
      <c r="G143" s="17" t="s">
        <v>10</v>
      </c>
      <c r="H143" s="17" t="s">
        <v>11</v>
      </c>
      <c r="I143" s="17" t="s">
        <v>12</v>
      </c>
      <c r="J143" s="17" t="s">
        <v>13</v>
      </c>
      <c r="K143" s="17" t="s">
        <v>14</v>
      </c>
      <c r="L143" s="17" t="s">
        <v>15</v>
      </c>
      <c r="M143" s="17" t="s">
        <v>16</v>
      </c>
    </row>
    <row r="144" spans="1:17" ht="15" customHeight="1">
      <c r="A144" s="46">
        <v>1</v>
      </c>
      <c r="B144" s="50">
        <v>46174</v>
      </c>
      <c r="C144" s="48" t="s">
        <v>66</v>
      </c>
      <c r="D144" s="46" t="s">
        <v>70</v>
      </c>
      <c r="E144" s="46">
        <v>365</v>
      </c>
      <c r="F144" s="46">
        <v>1</v>
      </c>
      <c r="G144" s="4">
        <v>2.2999999999999998</v>
      </c>
      <c r="H144" s="13">
        <f>SUM(E144/G144)</f>
        <v>158.69565217391306</v>
      </c>
      <c r="I144" s="4">
        <v>95.81</v>
      </c>
      <c r="J144" s="13">
        <f>SUM(H144*I144)</f>
        <v>15204.63043478261</v>
      </c>
      <c r="K144" s="5">
        <f>SUM(F144*5000)</f>
        <v>5000</v>
      </c>
      <c r="L144" s="46">
        <v>2295</v>
      </c>
      <c r="M144" s="5">
        <f>SUM(J144:L144)</f>
        <v>22499.630434782608</v>
      </c>
    </row>
    <row r="145" spans="1:15" ht="15" customHeight="1">
      <c r="A145" s="46">
        <v>2</v>
      </c>
      <c r="B145" s="50">
        <v>46176</v>
      </c>
      <c r="C145" s="48" t="s">
        <v>72</v>
      </c>
      <c r="D145" s="46" t="s">
        <v>70</v>
      </c>
      <c r="E145" s="46">
        <v>365</v>
      </c>
      <c r="F145" s="46">
        <v>1</v>
      </c>
      <c r="G145" s="4">
        <v>2.2999999999999998</v>
      </c>
      <c r="H145" s="13">
        <f t="shared" ref="H145:H170" si="31">SUM(E145/G145)</f>
        <v>158.69565217391306</v>
      </c>
      <c r="I145" s="4">
        <v>95.81</v>
      </c>
      <c r="J145" s="13">
        <f t="shared" ref="J145:J170" si="32">SUM(H145*I145)</f>
        <v>15204.63043478261</v>
      </c>
      <c r="K145" s="5">
        <f t="shared" ref="K145:K170" si="33">SUM(F145*5000)</f>
        <v>5000</v>
      </c>
      <c r="L145" s="46">
        <f>315+745+1235</f>
        <v>2295</v>
      </c>
      <c r="M145" s="5">
        <f t="shared" ref="M145:M170" si="34">SUM(J145:L145)</f>
        <v>22499.630434782608</v>
      </c>
    </row>
    <row r="146" spans="1:15">
      <c r="A146" s="46">
        <v>3</v>
      </c>
      <c r="B146" s="48" t="s">
        <v>34</v>
      </c>
      <c r="C146" s="48" t="s">
        <v>66</v>
      </c>
      <c r="D146" s="30" t="s">
        <v>17</v>
      </c>
      <c r="E146" s="15">
        <v>450</v>
      </c>
      <c r="F146" s="15">
        <v>1</v>
      </c>
      <c r="G146" s="4">
        <v>2.2999999999999998</v>
      </c>
      <c r="H146" s="13">
        <f t="shared" si="31"/>
        <v>195.6521739130435</v>
      </c>
      <c r="I146" s="4">
        <v>95.81</v>
      </c>
      <c r="J146" s="13">
        <f t="shared" si="32"/>
        <v>18745.4347826087</v>
      </c>
      <c r="K146" s="5">
        <f t="shared" si="33"/>
        <v>5000</v>
      </c>
      <c r="L146" s="46">
        <v>2350</v>
      </c>
      <c r="M146" s="5">
        <f t="shared" si="34"/>
        <v>26095.4347826087</v>
      </c>
    </row>
    <row r="147" spans="1:15">
      <c r="A147" s="46">
        <v>4</v>
      </c>
      <c r="B147" s="48" t="s">
        <v>36</v>
      </c>
      <c r="C147" s="48" t="s">
        <v>66</v>
      </c>
      <c r="D147" s="33" t="s">
        <v>17</v>
      </c>
      <c r="E147" s="43">
        <v>450</v>
      </c>
      <c r="F147" s="43">
        <v>1</v>
      </c>
      <c r="G147" s="4">
        <v>2.2999999999999998</v>
      </c>
      <c r="H147" s="13">
        <f t="shared" si="31"/>
        <v>195.6521739130435</v>
      </c>
      <c r="I147" s="4">
        <v>95.81</v>
      </c>
      <c r="J147" s="13">
        <f t="shared" si="32"/>
        <v>18745.4347826087</v>
      </c>
      <c r="K147" s="5">
        <f t="shared" si="33"/>
        <v>5000</v>
      </c>
      <c r="L147" s="46">
        <f>480+205+240+470+955</f>
        <v>2350</v>
      </c>
      <c r="M147" s="5">
        <f t="shared" si="34"/>
        <v>26095.4347826087</v>
      </c>
    </row>
    <row r="148" spans="1:15">
      <c r="A148" s="46">
        <v>5</v>
      </c>
      <c r="B148" s="50">
        <v>46178</v>
      </c>
      <c r="C148" s="48" t="s">
        <v>72</v>
      </c>
      <c r="D148" s="46" t="s">
        <v>70</v>
      </c>
      <c r="E148" s="46">
        <v>365</v>
      </c>
      <c r="F148" s="46">
        <v>1</v>
      </c>
      <c r="G148" s="4">
        <v>2.2999999999999998</v>
      </c>
      <c r="H148" s="13">
        <f t="shared" si="31"/>
        <v>158.69565217391306</v>
      </c>
      <c r="I148" s="4">
        <v>95.81</v>
      </c>
      <c r="J148" s="13">
        <f t="shared" si="32"/>
        <v>15204.63043478261</v>
      </c>
      <c r="K148" s="5">
        <f t="shared" si="33"/>
        <v>5000</v>
      </c>
      <c r="L148" s="46">
        <v>2295</v>
      </c>
      <c r="M148" s="5">
        <f t="shared" si="34"/>
        <v>22499.630434782608</v>
      </c>
      <c r="O148" t="s">
        <v>19</v>
      </c>
    </row>
    <row r="149" spans="1:15">
      <c r="A149" s="46">
        <v>6</v>
      </c>
      <c r="B149" s="48" t="s">
        <v>38</v>
      </c>
      <c r="C149" s="48" t="s">
        <v>66</v>
      </c>
      <c r="D149" s="33" t="s">
        <v>17</v>
      </c>
      <c r="E149" s="43">
        <v>450</v>
      </c>
      <c r="F149" s="43">
        <v>1</v>
      </c>
      <c r="G149" s="4">
        <v>2.2999999999999998</v>
      </c>
      <c r="H149" s="13">
        <f t="shared" si="31"/>
        <v>195.6521739130435</v>
      </c>
      <c r="I149" s="4">
        <v>95.81</v>
      </c>
      <c r="J149" s="13">
        <f t="shared" si="32"/>
        <v>18745.4347826087</v>
      </c>
      <c r="K149" s="5">
        <f t="shared" si="33"/>
        <v>5000</v>
      </c>
      <c r="L149" s="46">
        <v>2350</v>
      </c>
      <c r="M149" s="5">
        <f t="shared" si="34"/>
        <v>26095.4347826087</v>
      </c>
    </row>
    <row r="150" spans="1:15">
      <c r="A150" s="46">
        <v>7</v>
      </c>
      <c r="B150" s="50">
        <v>46180</v>
      </c>
      <c r="C150" s="48" t="s">
        <v>72</v>
      </c>
      <c r="D150" s="46" t="s">
        <v>70</v>
      </c>
      <c r="E150" s="46">
        <v>365</v>
      </c>
      <c r="F150" s="46">
        <v>1</v>
      </c>
      <c r="G150" s="4">
        <v>2.2999999999999998</v>
      </c>
      <c r="H150" s="13">
        <f t="shared" si="31"/>
        <v>158.69565217391306</v>
      </c>
      <c r="I150" s="4">
        <v>95.81</v>
      </c>
      <c r="J150" s="13">
        <f t="shared" si="32"/>
        <v>15204.63043478261</v>
      </c>
      <c r="K150" s="5">
        <f t="shared" si="33"/>
        <v>5000</v>
      </c>
      <c r="L150" s="46">
        <v>2295</v>
      </c>
      <c r="M150" s="5">
        <f t="shared" si="34"/>
        <v>22499.630434782608</v>
      </c>
      <c r="O150" t="s">
        <v>19</v>
      </c>
    </row>
    <row r="151" spans="1:15">
      <c r="A151" s="46">
        <v>8</v>
      </c>
      <c r="B151" s="50">
        <v>46181</v>
      </c>
      <c r="C151" s="48" t="s">
        <v>72</v>
      </c>
      <c r="D151" s="46" t="s">
        <v>70</v>
      </c>
      <c r="E151" s="46">
        <v>365</v>
      </c>
      <c r="F151" s="46">
        <v>1</v>
      </c>
      <c r="G151" s="4">
        <v>2.2999999999999998</v>
      </c>
      <c r="H151" s="13">
        <f t="shared" si="31"/>
        <v>158.69565217391306</v>
      </c>
      <c r="I151" s="4">
        <v>95.81</v>
      </c>
      <c r="J151" s="13">
        <f t="shared" si="32"/>
        <v>15204.63043478261</v>
      </c>
      <c r="K151" s="5">
        <f t="shared" si="33"/>
        <v>5000</v>
      </c>
      <c r="L151" s="46">
        <v>2295</v>
      </c>
      <c r="M151" s="5">
        <f t="shared" si="34"/>
        <v>22499.630434782608</v>
      </c>
      <c r="O151" t="s">
        <v>19</v>
      </c>
    </row>
    <row r="152" spans="1:15">
      <c r="A152" s="46">
        <v>9</v>
      </c>
      <c r="B152" s="50">
        <v>46182</v>
      </c>
      <c r="C152" s="48" t="s">
        <v>72</v>
      </c>
      <c r="D152" s="46" t="s">
        <v>70</v>
      </c>
      <c r="E152" s="46">
        <v>365</v>
      </c>
      <c r="F152" s="46">
        <v>1</v>
      </c>
      <c r="G152" s="4">
        <v>2.2999999999999998</v>
      </c>
      <c r="H152" s="13">
        <f t="shared" si="31"/>
        <v>158.69565217391306</v>
      </c>
      <c r="I152" s="4">
        <v>95.81</v>
      </c>
      <c r="J152" s="13">
        <f t="shared" si="32"/>
        <v>15204.63043478261</v>
      </c>
      <c r="K152" s="5">
        <f t="shared" si="33"/>
        <v>5000</v>
      </c>
      <c r="L152" s="46">
        <v>2295</v>
      </c>
      <c r="M152" s="5">
        <f t="shared" si="34"/>
        <v>22499.630434782608</v>
      </c>
      <c r="O152" t="s">
        <v>19</v>
      </c>
    </row>
    <row r="153" spans="1:15">
      <c r="A153" s="46">
        <v>10</v>
      </c>
      <c r="B153" s="50">
        <v>46184</v>
      </c>
      <c r="C153" s="48" t="s">
        <v>72</v>
      </c>
      <c r="D153" s="46" t="s">
        <v>70</v>
      </c>
      <c r="E153" s="46">
        <v>365</v>
      </c>
      <c r="F153" s="46">
        <v>1</v>
      </c>
      <c r="G153" s="4">
        <v>2.2999999999999998</v>
      </c>
      <c r="H153" s="13">
        <f t="shared" si="31"/>
        <v>158.69565217391306</v>
      </c>
      <c r="I153" s="4">
        <v>95.81</v>
      </c>
      <c r="J153" s="13">
        <f t="shared" si="32"/>
        <v>15204.63043478261</v>
      </c>
      <c r="K153" s="5">
        <f t="shared" si="33"/>
        <v>5000</v>
      </c>
      <c r="L153" s="46">
        <v>2295</v>
      </c>
      <c r="M153" s="5">
        <f t="shared" si="34"/>
        <v>22499.630434782608</v>
      </c>
      <c r="O153" t="s">
        <v>19</v>
      </c>
    </row>
    <row r="154" spans="1:15">
      <c r="A154" s="46">
        <v>11</v>
      </c>
      <c r="B154" s="48" t="s">
        <v>43</v>
      </c>
      <c r="C154" s="48" t="s">
        <v>66</v>
      </c>
      <c r="D154" s="33" t="s">
        <v>17</v>
      </c>
      <c r="E154" s="43">
        <v>450</v>
      </c>
      <c r="F154" s="43">
        <v>1</v>
      </c>
      <c r="G154" s="4">
        <v>2.2999999999999998</v>
      </c>
      <c r="H154" s="13">
        <f t="shared" si="31"/>
        <v>195.6521739130435</v>
      </c>
      <c r="I154" s="4">
        <v>95.81</v>
      </c>
      <c r="J154" s="13">
        <f t="shared" si="32"/>
        <v>18745.4347826087</v>
      </c>
      <c r="K154" s="5">
        <f t="shared" si="33"/>
        <v>5000</v>
      </c>
      <c r="L154" s="49">
        <v>2350</v>
      </c>
      <c r="M154" s="5">
        <f t="shared" si="34"/>
        <v>26095.4347826087</v>
      </c>
    </row>
    <row r="155" spans="1:15">
      <c r="A155" s="46">
        <v>12</v>
      </c>
      <c r="B155" s="50">
        <v>46186</v>
      </c>
      <c r="C155" s="48" t="s">
        <v>72</v>
      </c>
      <c r="D155" s="46" t="s">
        <v>70</v>
      </c>
      <c r="E155" s="46">
        <v>365</v>
      </c>
      <c r="F155" s="46">
        <v>1</v>
      </c>
      <c r="G155" s="4">
        <v>2.2999999999999998</v>
      </c>
      <c r="H155" s="13">
        <f t="shared" si="31"/>
        <v>158.69565217391306</v>
      </c>
      <c r="I155" s="4">
        <v>95.81</v>
      </c>
      <c r="J155" s="13">
        <f t="shared" si="32"/>
        <v>15204.63043478261</v>
      </c>
      <c r="K155" s="5">
        <f t="shared" si="33"/>
        <v>5000</v>
      </c>
      <c r="L155" s="46">
        <v>2295</v>
      </c>
      <c r="M155" s="5">
        <f t="shared" si="34"/>
        <v>22499.630434782608</v>
      </c>
      <c r="O155" t="s">
        <v>19</v>
      </c>
    </row>
    <row r="156" spans="1:15">
      <c r="A156" s="46">
        <v>13</v>
      </c>
      <c r="B156" s="48" t="s">
        <v>45</v>
      </c>
      <c r="C156" s="48" t="s">
        <v>66</v>
      </c>
      <c r="D156" s="33" t="s">
        <v>17</v>
      </c>
      <c r="E156" s="43">
        <v>450</v>
      </c>
      <c r="F156" s="43">
        <v>1</v>
      </c>
      <c r="G156" s="4">
        <v>2.2999999999999998</v>
      </c>
      <c r="H156" s="13">
        <f t="shared" si="31"/>
        <v>195.6521739130435</v>
      </c>
      <c r="I156" s="4">
        <v>95.81</v>
      </c>
      <c r="J156" s="13">
        <f t="shared" si="32"/>
        <v>18745.4347826087</v>
      </c>
      <c r="K156" s="5">
        <f t="shared" si="33"/>
        <v>5000</v>
      </c>
      <c r="L156" s="49">
        <v>2350</v>
      </c>
      <c r="M156" s="5">
        <f t="shared" si="34"/>
        <v>26095.4347826087</v>
      </c>
    </row>
    <row r="157" spans="1:15">
      <c r="A157" s="46">
        <v>14</v>
      </c>
      <c r="B157" s="50">
        <v>46187</v>
      </c>
      <c r="C157" s="48" t="s">
        <v>72</v>
      </c>
      <c r="D157" s="46" t="s">
        <v>70</v>
      </c>
      <c r="E157" s="46">
        <v>365</v>
      </c>
      <c r="F157" s="46">
        <v>1</v>
      </c>
      <c r="G157" s="4">
        <v>2.2999999999999998</v>
      </c>
      <c r="H157" s="13">
        <f t="shared" si="31"/>
        <v>158.69565217391306</v>
      </c>
      <c r="I157" s="4">
        <v>95.81</v>
      </c>
      <c r="J157" s="13">
        <f t="shared" si="32"/>
        <v>15204.63043478261</v>
      </c>
      <c r="K157" s="5">
        <f t="shared" si="33"/>
        <v>5000</v>
      </c>
      <c r="L157" s="46">
        <v>2295</v>
      </c>
      <c r="M157" s="5">
        <f t="shared" si="34"/>
        <v>22499.630434782608</v>
      </c>
    </row>
    <row r="158" spans="1:15">
      <c r="A158" s="46">
        <v>15</v>
      </c>
      <c r="B158" s="50">
        <v>46188</v>
      </c>
      <c r="C158" s="48" t="s">
        <v>72</v>
      </c>
      <c r="D158" s="46" t="s">
        <v>70</v>
      </c>
      <c r="E158" s="46">
        <v>365</v>
      </c>
      <c r="F158" s="46">
        <v>1</v>
      </c>
      <c r="G158" s="4">
        <v>2.2999999999999998</v>
      </c>
      <c r="H158" s="13">
        <f t="shared" si="31"/>
        <v>158.69565217391306</v>
      </c>
      <c r="I158" s="4">
        <v>95.81</v>
      </c>
      <c r="J158" s="13">
        <f t="shared" si="32"/>
        <v>15204.63043478261</v>
      </c>
      <c r="K158" s="5">
        <f t="shared" si="33"/>
        <v>5000</v>
      </c>
      <c r="L158" s="49">
        <v>2295</v>
      </c>
      <c r="M158" s="5">
        <f t="shared" si="34"/>
        <v>22499.630434782608</v>
      </c>
    </row>
    <row r="159" spans="1:15">
      <c r="A159" s="46">
        <v>16</v>
      </c>
      <c r="B159" s="50">
        <v>46189</v>
      </c>
      <c r="C159" s="48" t="s">
        <v>72</v>
      </c>
      <c r="D159" s="46" t="s">
        <v>70</v>
      </c>
      <c r="E159" s="46">
        <v>365</v>
      </c>
      <c r="F159" s="46">
        <v>1</v>
      </c>
      <c r="G159" s="4">
        <v>2.2999999999999998</v>
      </c>
      <c r="H159" s="13">
        <f t="shared" si="31"/>
        <v>158.69565217391306</v>
      </c>
      <c r="I159" s="4">
        <v>95.81</v>
      </c>
      <c r="J159" s="13">
        <f t="shared" si="32"/>
        <v>15204.63043478261</v>
      </c>
      <c r="K159" s="5">
        <f t="shared" si="33"/>
        <v>5000</v>
      </c>
      <c r="L159" s="46">
        <v>2295</v>
      </c>
      <c r="M159" s="5">
        <f t="shared" si="34"/>
        <v>22499.630434782608</v>
      </c>
    </row>
    <row r="160" spans="1:15" s="27" customFormat="1">
      <c r="A160" s="46">
        <v>17</v>
      </c>
      <c r="B160" s="48" t="s">
        <v>48</v>
      </c>
      <c r="C160" s="48" t="s">
        <v>66</v>
      </c>
      <c r="D160" s="40" t="s">
        <v>17</v>
      </c>
      <c r="E160" s="43">
        <v>450</v>
      </c>
      <c r="F160" s="43">
        <v>1</v>
      </c>
      <c r="G160" s="4">
        <v>2.2999999999999998</v>
      </c>
      <c r="H160" s="13">
        <f t="shared" si="31"/>
        <v>195.6521739130435</v>
      </c>
      <c r="I160" s="4">
        <v>95.81</v>
      </c>
      <c r="J160" s="13">
        <f t="shared" si="32"/>
        <v>18745.4347826087</v>
      </c>
      <c r="K160" s="5">
        <f t="shared" si="33"/>
        <v>5000</v>
      </c>
      <c r="L160" s="49">
        <v>2350</v>
      </c>
      <c r="M160" s="5">
        <f t="shared" si="34"/>
        <v>26095.4347826087</v>
      </c>
    </row>
    <row r="161" spans="1:18" s="27" customFormat="1">
      <c r="A161" s="46">
        <v>18</v>
      </c>
      <c r="B161" s="50">
        <v>46191</v>
      </c>
      <c r="C161" s="48" t="s">
        <v>72</v>
      </c>
      <c r="D161" s="46" t="s">
        <v>70</v>
      </c>
      <c r="E161" s="46">
        <v>365</v>
      </c>
      <c r="F161" s="46">
        <v>1</v>
      </c>
      <c r="G161" s="4">
        <v>2.2999999999999998</v>
      </c>
      <c r="H161" s="13">
        <f t="shared" si="31"/>
        <v>158.69565217391306</v>
      </c>
      <c r="I161" s="4">
        <v>95.81</v>
      </c>
      <c r="J161" s="13">
        <f t="shared" si="32"/>
        <v>15204.63043478261</v>
      </c>
      <c r="K161" s="5">
        <f t="shared" si="33"/>
        <v>5000</v>
      </c>
      <c r="L161" s="46">
        <v>2295</v>
      </c>
      <c r="M161" s="5">
        <f t="shared" si="34"/>
        <v>22499.630434782608</v>
      </c>
    </row>
    <row r="162" spans="1:18" s="27" customFormat="1">
      <c r="A162" s="46">
        <v>19</v>
      </c>
      <c r="B162" s="50">
        <v>46192</v>
      </c>
      <c r="C162" s="48" t="s">
        <v>72</v>
      </c>
      <c r="D162" s="46" t="s">
        <v>70</v>
      </c>
      <c r="E162" s="46">
        <v>365</v>
      </c>
      <c r="F162" s="46">
        <v>1</v>
      </c>
      <c r="G162" s="4">
        <v>2.2999999999999998</v>
      </c>
      <c r="H162" s="13">
        <f t="shared" si="31"/>
        <v>158.69565217391306</v>
      </c>
      <c r="I162" s="4">
        <v>95.81</v>
      </c>
      <c r="J162" s="13">
        <f t="shared" si="32"/>
        <v>15204.63043478261</v>
      </c>
      <c r="K162" s="5">
        <f t="shared" si="33"/>
        <v>5000</v>
      </c>
      <c r="L162" s="46">
        <v>2295</v>
      </c>
      <c r="M162" s="5">
        <f t="shared" si="34"/>
        <v>22499.630434782608</v>
      </c>
    </row>
    <row r="163" spans="1:18" s="27" customFormat="1">
      <c r="A163" s="46">
        <v>20</v>
      </c>
      <c r="B163" s="50">
        <v>46193</v>
      </c>
      <c r="C163" s="48" t="s">
        <v>72</v>
      </c>
      <c r="D163" s="46" t="s">
        <v>70</v>
      </c>
      <c r="E163" s="46">
        <v>365</v>
      </c>
      <c r="F163" s="46">
        <v>1</v>
      </c>
      <c r="G163" s="4">
        <v>2.2999999999999998</v>
      </c>
      <c r="H163" s="13">
        <f t="shared" si="31"/>
        <v>158.69565217391306</v>
      </c>
      <c r="I163" s="4">
        <v>95.81</v>
      </c>
      <c r="J163" s="13">
        <f t="shared" si="32"/>
        <v>15204.63043478261</v>
      </c>
      <c r="K163" s="5">
        <f t="shared" si="33"/>
        <v>5000</v>
      </c>
      <c r="L163" s="46">
        <v>2295</v>
      </c>
      <c r="M163" s="5">
        <f t="shared" si="34"/>
        <v>22499.630434782608</v>
      </c>
    </row>
    <row r="164" spans="1:18" s="27" customFormat="1">
      <c r="A164" s="46">
        <v>21</v>
      </c>
      <c r="B164" s="50">
        <v>46194</v>
      </c>
      <c r="C164" s="48" t="s">
        <v>72</v>
      </c>
      <c r="D164" s="46" t="s">
        <v>70</v>
      </c>
      <c r="E164" s="46">
        <v>365</v>
      </c>
      <c r="F164" s="46">
        <v>1</v>
      </c>
      <c r="G164" s="4">
        <v>2.2999999999999998</v>
      </c>
      <c r="H164" s="13">
        <f t="shared" si="31"/>
        <v>158.69565217391306</v>
      </c>
      <c r="I164" s="4">
        <v>95.81</v>
      </c>
      <c r="J164" s="13">
        <f t="shared" si="32"/>
        <v>15204.63043478261</v>
      </c>
      <c r="K164" s="5">
        <f t="shared" si="33"/>
        <v>5000</v>
      </c>
      <c r="L164" s="46">
        <v>2295</v>
      </c>
      <c r="M164" s="5">
        <f t="shared" si="34"/>
        <v>22499.630434782608</v>
      </c>
    </row>
    <row r="165" spans="1:18" s="27" customFormat="1">
      <c r="A165" s="46">
        <v>22</v>
      </c>
      <c r="B165" s="50">
        <v>46196</v>
      </c>
      <c r="C165" s="48" t="s">
        <v>72</v>
      </c>
      <c r="D165" s="46" t="s">
        <v>70</v>
      </c>
      <c r="E165" s="46">
        <v>365</v>
      </c>
      <c r="F165" s="46">
        <v>1</v>
      </c>
      <c r="G165" s="4">
        <v>2.2999999999999998</v>
      </c>
      <c r="H165" s="13">
        <f t="shared" si="31"/>
        <v>158.69565217391306</v>
      </c>
      <c r="I165" s="4">
        <v>95.81</v>
      </c>
      <c r="J165" s="13">
        <f t="shared" si="32"/>
        <v>15204.63043478261</v>
      </c>
      <c r="K165" s="5">
        <f t="shared" si="33"/>
        <v>5000</v>
      </c>
      <c r="L165" s="46">
        <v>2295</v>
      </c>
      <c r="M165" s="5">
        <f t="shared" si="34"/>
        <v>22499.630434782608</v>
      </c>
    </row>
    <row r="166" spans="1:18" s="27" customFormat="1">
      <c r="A166" s="46">
        <v>23</v>
      </c>
      <c r="B166" s="48" t="s">
        <v>54</v>
      </c>
      <c r="C166" s="48" t="s">
        <v>66</v>
      </c>
      <c r="D166" s="40" t="s">
        <v>17</v>
      </c>
      <c r="E166" s="43">
        <v>450</v>
      </c>
      <c r="F166" s="43">
        <v>1</v>
      </c>
      <c r="G166" s="4">
        <v>2.2999999999999998</v>
      </c>
      <c r="H166" s="13">
        <f t="shared" si="31"/>
        <v>195.6521739130435</v>
      </c>
      <c r="I166" s="4">
        <v>95.81</v>
      </c>
      <c r="J166" s="13">
        <f t="shared" si="32"/>
        <v>18745.4347826087</v>
      </c>
      <c r="K166" s="5">
        <f t="shared" si="33"/>
        <v>5000</v>
      </c>
      <c r="L166" s="49">
        <v>2350</v>
      </c>
      <c r="M166" s="5">
        <f t="shared" si="34"/>
        <v>26095.4347826087</v>
      </c>
    </row>
    <row r="167" spans="1:18" s="27" customFormat="1">
      <c r="A167" s="46">
        <v>24</v>
      </c>
      <c r="B167" s="50">
        <v>46198</v>
      </c>
      <c r="C167" s="48" t="s">
        <v>72</v>
      </c>
      <c r="D167" s="46" t="s">
        <v>70</v>
      </c>
      <c r="E167" s="46">
        <v>365</v>
      </c>
      <c r="F167" s="46">
        <v>1</v>
      </c>
      <c r="G167" s="4">
        <v>2.2999999999999998</v>
      </c>
      <c r="H167" s="13">
        <f t="shared" si="31"/>
        <v>158.69565217391306</v>
      </c>
      <c r="I167" s="4">
        <v>95.81</v>
      </c>
      <c r="J167" s="13">
        <f t="shared" si="32"/>
        <v>15204.63043478261</v>
      </c>
      <c r="K167" s="5">
        <f t="shared" si="33"/>
        <v>5000</v>
      </c>
      <c r="L167" s="46">
        <v>2295</v>
      </c>
      <c r="M167" s="5">
        <f t="shared" si="34"/>
        <v>22499.630434782608</v>
      </c>
    </row>
    <row r="168" spans="1:18" s="27" customFormat="1">
      <c r="A168" s="46">
        <v>25</v>
      </c>
      <c r="B168" s="53" t="s">
        <v>56</v>
      </c>
      <c r="C168" s="53" t="s">
        <v>66</v>
      </c>
      <c r="D168" s="40" t="s">
        <v>17</v>
      </c>
      <c r="E168" s="43">
        <v>450</v>
      </c>
      <c r="F168" s="43">
        <v>1</v>
      </c>
      <c r="G168" s="4">
        <v>2.2999999999999998</v>
      </c>
      <c r="H168" s="13">
        <f t="shared" si="31"/>
        <v>195.6521739130435</v>
      </c>
      <c r="I168" s="4">
        <v>95.81</v>
      </c>
      <c r="J168" s="13">
        <f t="shared" si="32"/>
        <v>18745.4347826087</v>
      </c>
      <c r="K168" s="5">
        <f t="shared" si="33"/>
        <v>5000</v>
      </c>
      <c r="L168" s="49">
        <v>2350</v>
      </c>
      <c r="M168" s="5">
        <f t="shared" si="34"/>
        <v>26095.4347826087</v>
      </c>
    </row>
    <row r="169" spans="1:18" s="27" customFormat="1">
      <c r="A169" s="44">
        <v>26</v>
      </c>
      <c r="B169" s="54">
        <v>46199</v>
      </c>
      <c r="C169" s="55" t="s">
        <v>72</v>
      </c>
      <c r="D169" s="52" t="s">
        <v>70</v>
      </c>
      <c r="E169" s="46">
        <v>365</v>
      </c>
      <c r="F169" s="46">
        <v>1</v>
      </c>
      <c r="G169" s="4">
        <v>2.2999999999999998</v>
      </c>
      <c r="H169" s="13">
        <f t="shared" si="31"/>
        <v>158.69565217391306</v>
      </c>
      <c r="I169" s="4">
        <v>95.81</v>
      </c>
      <c r="J169" s="13">
        <f t="shared" si="32"/>
        <v>15204.63043478261</v>
      </c>
      <c r="K169" s="5">
        <f t="shared" si="33"/>
        <v>5000</v>
      </c>
      <c r="L169" s="46">
        <v>2295</v>
      </c>
      <c r="M169" s="5">
        <f t="shared" si="34"/>
        <v>22499.630434782608</v>
      </c>
    </row>
    <row r="170" spans="1:18" s="27" customFormat="1">
      <c r="A170" s="51">
        <v>27</v>
      </c>
      <c r="B170" s="54">
        <v>46200</v>
      </c>
      <c r="C170" s="55" t="s">
        <v>72</v>
      </c>
      <c r="D170" s="52" t="s">
        <v>70</v>
      </c>
      <c r="E170" s="46">
        <v>365</v>
      </c>
      <c r="F170" s="46">
        <v>1</v>
      </c>
      <c r="G170" s="4">
        <v>2.2999999999999998</v>
      </c>
      <c r="H170" s="13">
        <f t="shared" si="31"/>
        <v>158.69565217391306</v>
      </c>
      <c r="I170" s="4">
        <v>95.81</v>
      </c>
      <c r="J170" s="13">
        <f t="shared" si="32"/>
        <v>15204.63043478261</v>
      </c>
      <c r="K170" s="5">
        <f t="shared" si="33"/>
        <v>5000</v>
      </c>
      <c r="L170" s="46">
        <v>2295</v>
      </c>
      <c r="M170" s="5">
        <f t="shared" si="34"/>
        <v>22499.630434782608</v>
      </c>
    </row>
    <row r="171" spans="1:18" s="27" customFormat="1">
      <c r="A171" s="51">
        <v>28</v>
      </c>
      <c r="B171" s="54">
        <v>46201</v>
      </c>
      <c r="C171" s="55" t="s">
        <v>72</v>
      </c>
      <c r="D171" s="52" t="s">
        <v>70</v>
      </c>
      <c r="E171" s="46">
        <v>365</v>
      </c>
      <c r="F171" s="46">
        <v>1</v>
      </c>
      <c r="G171" s="4">
        <v>2.2999999999999998</v>
      </c>
      <c r="H171" s="13">
        <f t="shared" ref="H171:H173" si="35">SUM(E171/G171)</f>
        <v>158.69565217391306</v>
      </c>
      <c r="I171" s="4">
        <v>95.81</v>
      </c>
      <c r="J171" s="13">
        <f t="shared" ref="J171:J173" si="36">SUM(H171*I171)</f>
        <v>15204.63043478261</v>
      </c>
      <c r="K171" s="5">
        <f t="shared" ref="K171:K173" si="37">SUM(F171*5000)</f>
        <v>5000</v>
      </c>
      <c r="L171" s="46">
        <v>2295</v>
      </c>
      <c r="M171" s="5">
        <f t="shared" ref="M171:M173" si="38">SUM(J171:L171)</f>
        <v>22499.630434782608</v>
      </c>
    </row>
    <row r="172" spans="1:18" s="27" customFormat="1">
      <c r="A172" s="51">
        <v>29</v>
      </c>
      <c r="B172" s="54">
        <v>46202</v>
      </c>
      <c r="C172" s="55" t="s">
        <v>72</v>
      </c>
      <c r="D172" s="52" t="s">
        <v>70</v>
      </c>
      <c r="E172" s="46">
        <v>365</v>
      </c>
      <c r="F172" s="46">
        <v>1</v>
      </c>
      <c r="G172" s="4">
        <v>2.2999999999999998</v>
      </c>
      <c r="H172" s="13">
        <f t="shared" si="35"/>
        <v>158.69565217391306</v>
      </c>
      <c r="I172" s="4">
        <v>95.81</v>
      </c>
      <c r="J172" s="13">
        <f t="shared" si="36"/>
        <v>15204.63043478261</v>
      </c>
      <c r="K172" s="5">
        <f t="shared" si="37"/>
        <v>5000</v>
      </c>
      <c r="L172" s="46">
        <v>2295</v>
      </c>
      <c r="M172" s="5">
        <f t="shared" si="38"/>
        <v>22499.630434782608</v>
      </c>
    </row>
    <row r="173" spans="1:18" s="27" customFormat="1">
      <c r="A173" s="51">
        <v>30</v>
      </c>
      <c r="B173" s="54">
        <v>46203</v>
      </c>
      <c r="C173" s="55" t="s">
        <v>72</v>
      </c>
      <c r="D173" s="52" t="s">
        <v>70</v>
      </c>
      <c r="E173" s="46">
        <v>365</v>
      </c>
      <c r="F173" s="46">
        <v>1</v>
      </c>
      <c r="G173" s="4">
        <v>2.2999999999999998</v>
      </c>
      <c r="H173" s="13">
        <f t="shared" si="35"/>
        <v>158.69565217391306</v>
      </c>
      <c r="I173" s="4">
        <v>95.81</v>
      </c>
      <c r="J173" s="13">
        <f t="shared" si="36"/>
        <v>15204.63043478261</v>
      </c>
      <c r="K173" s="5">
        <f t="shared" si="37"/>
        <v>5000</v>
      </c>
      <c r="L173" s="46">
        <v>2295</v>
      </c>
      <c r="M173" s="5">
        <f t="shared" si="38"/>
        <v>22499.630434782608</v>
      </c>
      <c r="O173" s="27" t="s">
        <v>19</v>
      </c>
      <c r="P173" s="27" t="s">
        <v>19</v>
      </c>
      <c r="Q173" s="27" t="s">
        <v>19</v>
      </c>
      <c r="R173" s="27" t="s">
        <v>19</v>
      </c>
    </row>
    <row r="174" spans="1:18" ht="15.75">
      <c r="A174" s="73" t="s">
        <v>28</v>
      </c>
      <c r="B174" s="74"/>
      <c r="C174" s="74"/>
      <c r="D174" s="75"/>
      <c r="E174" s="18">
        <f>SUM(E144:E173)</f>
        <v>11630</v>
      </c>
      <c r="F174" s="18">
        <f t="shared" ref="F174:M174" si="39">SUM(F144:F173)</f>
        <v>30</v>
      </c>
      <c r="G174" s="18" t="s">
        <v>19</v>
      </c>
      <c r="H174" s="18">
        <f t="shared" si="39"/>
        <v>5056.521739130435</v>
      </c>
      <c r="I174" s="18" t="s">
        <v>19</v>
      </c>
      <c r="J174" s="18">
        <f t="shared" si="39"/>
        <v>484465.34782608692</v>
      </c>
      <c r="K174" s="18">
        <f t="shared" si="39"/>
        <v>150000</v>
      </c>
      <c r="L174" s="18">
        <f t="shared" si="39"/>
        <v>69290</v>
      </c>
      <c r="M174" s="18">
        <f t="shared" si="39"/>
        <v>703755.34782608668</v>
      </c>
    </row>
    <row r="175" spans="1:18" ht="90" customHeight="1">
      <c r="A175" s="62" t="s">
        <v>20</v>
      </c>
      <c r="B175" s="62"/>
      <c r="C175" s="62"/>
      <c r="D175" s="62"/>
      <c r="E175" s="62"/>
      <c r="F175" s="62"/>
      <c r="G175" s="62"/>
      <c r="H175" s="76"/>
      <c r="I175" s="76"/>
      <c r="J175" s="76"/>
      <c r="K175" s="76"/>
      <c r="L175" s="76"/>
      <c r="M175" s="76"/>
    </row>
    <row r="176" spans="1:18" ht="16.5" customHeight="1">
      <c r="A176" s="62"/>
      <c r="B176" s="62"/>
      <c r="C176" s="62"/>
      <c r="D176" s="62"/>
      <c r="E176" s="62"/>
      <c r="F176" s="62"/>
      <c r="G176" s="62"/>
      <c r="H176" s="77" t="s">
        <v>21</v>
      </c>
      <c r="I176" s="77"/>
      <c r="J176" s="77"/>
      <c r="K176" s="77"/>
      <c r="L176" s="77"/>
      <c r="M176" s="77"/>
    </row>
    <row r="184" spans="1:13">
      <c r="A184" s="69" t="s">
        <v>77</v>
      </c>
      <c r="B184" s="69"/>
      <c r="C184" s="69"/>
      <c r="D184" s="69"/>
      <c r="E184" s="69"/>
      <c r="F184" s="69"/>
      <c r="G184" s="69"/>
      <c r="H184" s="69"/>
      <c r="I184" s="69"/>
      <c r="J184" s="69"/>
      <c r="K184" s="69"/>
      <c r="L184" s="69"/>
      <c r="M184" s="69"/>
    </row>
    <row r="185" spans="1:13" ht="63" customHeight="1">
      <c r="A185" s="70" t="s">
        <v>24</v>
      </c>
      <c r="B185" s="70"/>
      <c r="C185" s="70"/>
      <c r="D185" s="70"/>
      <c r="E185" s="70"/>
      <c r="F185" s="70"/>
      <c r="G185" s="71" t="s">
        <v>25</v>
      </c>
      <c r="H185" s="71"/>
      <c r="I185" s="71"/>
      <c r="J185" s="71"/>
      <c r="K185" s="71"/>
      <c r="L185" s="71"/>
      <c r="M185" s="71"/>
    </row>
    <row r="186" spans="1:13">
      <c r="A186" s="72" t="s">
        <v>30</v>
      </c>
      <c r="B186" s="72"/>
      <c r="C186" s="72"/>
      <c r="D186" s="72"/>
      <c r="E186" s="72"/>
      <c r="F186" s="72"/>
      <c r="G186" s="56" t="s">
        <v>62</v>
      </c>
      <c r="H186" s="57"/>
      <c r="I186" s="57"/>
      <c r="J186" s="57"/>
      <c r="K186" s="57"/>
      <c r="L186" s="57"/>
      <c r="M186" s="58"/>
    </row>
    <row r="187" spans="1:13">
      <c r="A187" s="56" t="s">
        <v>31</v>
      </c>
      <c r="B187" s="57"/>
      <c r="C187" s="57"/>
      <c r="D187" s="57"/>
      <c r="E187" s="57"/>
      <c r="F187" s="58"/>
      <c r="G187" s="56" t="s">
        <v>63</v>
      </c>
      <c r="H187" s="57"/>
      <c r="I187" s="57"/>
      <c r="J187" s="57"/>
      <c r="K187" s="57"/>
      <c r="L187" s="57"/>
      <c r="M187" s="58"/>
    </row>
    <row r="188" spans="1:13" ht="45">
      <c r="A188" s="16" t="s">
        <v>4</v>
      </c>
      <c r="B188" s="16" t="s">
        <v>5</v>
      </c>
      <c r="C188" s="16" t="s">
        <v>6</v>
      </c>
      <c r="D188" s="16" t="s">
        <v>7</v>
      </c>
      <c r="E188" s="16" t="s">
        <v>8</v>
      </c>
      <c r="F188" s="16" t="s">
        <v>9</v>
      </c>
      <c r="G188" s="16" t="s">
        <v>10</v>
      </c>
      <c r="H188" s="16" t="s">
        <v>11</v>
      </c>
      <c r="I188" s="16" t="s">
        <v>12</v>
      </c>
      <c r="J188" s="16" t="s">
        <v>13</v>
      </c>
      <c r="K188" s="16" t="s">
        <v>14</v>
      </c>
      <c r="L188" s="16" t="s">
        <v>15</v>
      </c>
      <c r="M188" s="16" t="s">
        <v>16</v>
      </c>
    </row>
    <row r="189" spans="1:13">
      <c r="A189" s="19">
        <v>1</v>
      </c>
      <c r="B189" s="48" t="s">
        <v>32</v>
      </c>
      <c r="C189" s="48" t="s">
        <v>67</v>
      </c>
      <c r="D189" s="20" t="s">
        <v>17</v>
      </c>
      <c r="E189" s="20">
        <v>97</v>
      </c>
      <c r="F189" s="20">
        <v>0.5</v>
      </c>
      <c r="G189" s="20">
        <v>4</v>
      </c>
      <c r="H189" s="21">
        <f>E189/G189</f>
        <v>24.25</v>
      </c>
      <c r="I189" s="22">
        <v>95.81</v>
      </c>
      <c r="J189" s="23">
        <f>SUM(H189*I189)</f>
        <v>2323.3924999999999</v>
      </c>
      <c r="K189" s="24">
        <f>SUM(F189*1400)</f>
        <v>700</v>
      </c>
      <c r="L189" s="20">
        <v>0</v>
      </c>
      <c r="M189" s="23">
        <f>SUM(J189:L189)</f>
        <v>3023.3924999999999</v>
      </c>
    </row>
    <row r="190" spans="1:13">
      <c r="A190" s="19">
        <v>2</v>
      </c>
      <c r="B190" s="48" t="s">
        <v>32</v>
      </c>
      <c r="C190" s="48" t="s">
        <v>67</v>
      </c>
      <c r="D190" s="20" t="s">
        <v>17</v>
      </c>
      <c r="E190" s="20">
        <v>97</v>
      </c>
      <c r="F190" s="20">
        <v>0.5</v>
      </c>
      <c r="G190" s="20">
        <v>4</v>
      </c>
      <c r="H190" s="21">
        <f>E190/G190</f>
        <v>24.25</v>
      </c>
      <c r="I190" s="22">
        <v>95.81</v>
      </c>
      <c r="J190" s="23">
        <f>SUM(H190*I190)</f>
        <v>2323.3924999999999</v>
      </c>
      <c r="K190" s="24">
        <f>SUM(F190*1400)</f>
        <v>700</v>
      </c>
      <c r="L190" s="20">
        <v>0</v>
      </c>
      <c r="M190" s="23">
        <f>SUM(J190:L190)</f>
        <v>3023.3924999999999</v>
      </c>
    </row>
    <row r="191" spans="1:13">
      <c r="A191" s="19">
        <v>3</v>
      </c>
      <c r="B191" s="48" t="s">
        <v>33</v>
      </c>
      <c r="C191" s="48" t="s">
        <v>67</v>
      </c>
      <c r="D191" s="20" t="s">
        <v>17</v>
      </c>
      <c r="E191" s="20">
        <v>97</v>
      </c>
      <c r="F191" s="20">
        <v>0.5</v>
      </c>
      <c r="G191" s="20">
        <v>4</v>
      </c>
      <c r="H191" s="21">
        <f>E191/G191</f>
        <v>24.25</v>
      </c>
      <c r="I191" s="22">
        <v>95.81</v>
      </c>
      <c r="J191" s="23">
        <f>SUM(H191*I191)</f>
        <v>2323.3924999999999</v>
      </c>
      <c r="K191" s="24">
        <f>SUM(F191*1400)</f>
        <v>700</v>
      </c>
      <c r="L191" s="20">
        <v>0</v>
      </c>
      <c r="M191" s="23">
        <f>SUM(J191:L191)</f>
        <v>3023.3924999999999</v>
      </c>
    </row>
    <row r="192" spans="1:13">
      <c r="A192" s="19">
        <v>4</v>
      </c>
      <c r="B192" s="48" t="s">
        <v>33</v>
      </c>
      <c r="C192" s="48" t="s">
        <v>67</v>
      </c>
      <c r="D192" s="20" t="s">
        <v>17</v>
      </c>
      <c r="E192" s="20">
        <v>97</v>
      </c>
      <c r="F192" s="20">
        <v>0.5</v>
      </c>
      <c r="G192" s="20">
        <v>4</v>
      </c>
      <c r="H192" s="21">
        <f>E192/G192</f>
        <v>24.25</v>
      </c>
      <c r="I192" s="22">
        <v>95.81</v>
      </c>
      <c r="J192" s="23">
        <f>SUM(H192*I192)</f>
        <v>2323.3924999999999</v>
      </c>
      <c r="K192" s="24">
        <f>SUM(F192*1400)</f>
        <v>700</v>
      </c>
      <c r="L192" s="20">
        <v>0</v>
      </c>
      <c r="M192" s="23">
        <f>SUM(J192:L192)</f>
        <v>3023.3924999999999</v>
      </c>
    </row>
    <row r="193" spans="1:13">
      <c r="A193" s="19">
        <v>5</v>
      </c>
      <c r="B193" s="48" t="s">
        <v>34</v>
      </c>
      <c r="C193" s="48" t="s">
        <v>67</v>
      </c>
      <c r="D193" s="20" t="s">
        <v>17</v>
      </c>
      <c r="E193" s="20">
        <v>97</v>
      </c>
      <c r="F193" s="20">
        <v>0.5</v>
      </c>
      <c r="G193" s="20">
        <v>4</v>
      </c>
      <c r="H193" s="21">
        <f t="shared" ref="H193:H203" si="40">E193/G193</f>
        <v>24.25</v>
      </c>
      <c r="I193" s="22">
        <v>95.81</v>
      </c>
      <c r="J193" s="23">
        <f t="shared" ref="J193:J203" si="41">SUM(H193*I193)</f>
        <v>2323.3924999999999</v>
      </c>
      <c r="K193" s="24">
        <f t="shared" ref="K193:K203" si="42">SUM(F193*1400)</f>
        <v>700</v>
      </c>
      <c r="L193" s="20">
        <v>0</v>
      </c>
      <c r="M193" s="23">
        <f t="shared" ref="M193:M203" si="43">SUM(J193:L193)</f>
        <v>3023.3924999999999</v>
      </c>
    </row>
    <row r="194" spans="1:13">
      <c r="A194" s="19">
        <v>6</v>
      </c>
      <c r="B194" s="48" t="s">
        <v>34</v>
      </c>
      <c r="C194" s="48" t="s">
        <v>67</v>
      </c>
      <c r="D194" s="20" t="s">
        <v>17</v>
      </c>
      <c r="E194" s="20">
        <v>97</v>
      </c>
      <c r="F194" s="20">
        <v>0.5</v>
      </c>
      <c r="G194" s="20">
        <v>4</v>
      </c>
      <c r="H194" s="21">
        <f t="shared" si="40"/>
        <v>24.25</v>
      </c>
      <c r="I194" s="22">
        <v>95.81</v>
      </c>
      <c r="J194" s="23">
        <f t="shared" si="41"/>
        <v>2323.3924999999999</v>
      </c>
      <c r="K194" s="24">
        <f t="shared" si="42"/>
        <v>700</v>
      </c>
      <c r="L194" s="20">
        <v>0</v>
      </c>
      <c r="M194" s="23">
        <f t="shared" si="43"/>
        <v>3023.3924999999999</v>
      </c>
    </row>
    <row r="195" spans="1:13">
      <c r="A195" s="19">
        <v>7</v>
      </c>
      <c r="B195" s="48" t="s">
        <v>36</v>
      </c>
      <c r="C195" s="48" t="s">
        <v>67</v>
      </c>
      <c r="D195" s="20" t="s">
        <v>17</v>
      </c>
      <c r="E195" s="20">
        <v>97</v>
      </c>
      <c r="F195" s="20">
        <v>0.5</v>
      </c>
      <c r="G195" s="20">
        <v>4</v>
      </c>
      <c r="H195" s="21">
        <f t="shared" si="40"/>
        <v>24.25</v>
      </c>
      <c r="I195" s="22">
        <v>95.81</v>
      </c>
      <c r="J195" s="23">
        <f t="shared" si="41"/>
        <v>2323.3924999999999</v>
      </c>
      <c r="K195" s="24">
        <f t="shared" si="42"/>
        <v>700</v>
      </c>
      <c r="L195" s="20">
        <v>0</v>
      </c>
      <c r="M195" s="23">
        <f t="shared" si="43"/>
        <v>3023.3924999999999</v>
      </c>
    </row>
    <row r="196" spans="1:13">
      <c r="A196" s="19">
        <v>8</v>
      </c>
      <c r="B196" s="48" t="s">
        <v>36</v>
      </c>
      <c r="C196" s="48" t="s">
        <v>67</v>
      </c>
      <c r="D196" s="20" t="s">
        <v>17</v>
      </c>
      <c r="E196" s="20">
        <v>97</v>
      </c>
      <c r="F196" s="20">
        <v>0.5</v>
      </c>
      <c r="G196" s="20">
        <v>4</v>
      </c>
      <c r="H196" s="21">
        <f t="shared" si="40"/>
        <v>24.25</v>
      </c>
      <c r="I196" s="22">
        <v>95.81</v>
      </c>
      <c r="J196" s="23">
        <f t="shared" si="41"/>
        <v>2323.3924999999999</v>
      </c>
      <c r="K196" s="24">
        <f t="shared" si="42"/>
        <v>700</v>
      </c>
      <c r="L196" s="20">
        <v>0</v>
      </c>
      <c r="M196" s="23">
        <f t="shared" si="43"/>
        <v>3023.3924999999999</v>
      </c>
    </row>
    <row r="197" spans="1:13">
      <c r="A197" s="19">
        <v>9</v>
      </c>
      <c r="B197" s="48" t="s">
        <v>37</v>
      </c>
      <c r="C197" s="48" t="s">
        <v>67</v>
      </c>
      <c r="D197" s="20" t="s">
        <v>17</v>
      </c>
      <c r="E197" s="20">
        <v>97</v>
      </c>
      <c r="F197" s="20">
        <v>0.5</v>
      </c>
      <c r="G197" s="20">
        <v>4</v>
      </c>
      <c r="H197" s="21">
        <f t="shared" si="40"/>
        <v>24.25</v>
      </c>
      <c r="I197" s="22">
        <v>95.81</v>
      </c>
      <c r="J197" s="23">
        <f t="shared" si="41"/>
        <v>2323.3924999999999</v>
      </c>
      <c r="K197" s="24">
        <f t="shared" si="42"/>
        <v>700</v>
      </c>
      <c r="L197" s="20">
        <v>0</v>
      </c>
      <c r="M197" s="23">
        <f t="shared" si="43"/>
        <v>3023.3924999999999</v>
      </c>
    </row>
    <row r="198" spans="1:13">
      <c r="A198" s="19">
        <v>10</v>
      </c>
      <c r="B198" s="48" t="s">
        <v>37</v>
      </c>
      <c r="C198" s="48" t="s">
        <v>67</v>
      </c>
      <c r="D198" s="20" t="s">
        <v>17</v>
      </c>
      <c r="E198" s="20">
        <v>97</v>
      </c>
      <c r="F198" s="20">
        <v>0.5</v>
      </c>
      <c r="G198" s="20">
        <v>4</v>
      </c>
      <c r="H198" s="21">
        <f t="shared" si="40"/>
        <v>24.25</v>
      </c>
      <c r="I198" s="22">
        <v>95.81</v>
      </c>
      <c r="J198" s="23">
        <f t="shared" si="41"/>
        <v>2323.3924999999999</v>
      </c>
      <c r="K198" s="24">
        <f t="shared" si="42"/>
        <v>700</v>
      </c>
      <c r="L198" s="20">
        <v>0</v>
      </c>
      <c r="M198" s="23">
        <f t="shared" si="43"/>
        <v>3023.3924999999999</v>
      </c>
    </row>
    <row r="199" spans="1:13">
      <c r="A199" s="19">
        <v>11</v>
      </c>
      <c r="B199" s="48" t="s">
        <v>38</v>
      </c>
      <c r="C199" s="48" t="s">
        <v>67</v>
      </c>
      <c r="D199" s="20" t="s">
        <v>17</v>
      </c>
      <c r="E199" s="20">
        <v>97</v>
      </c>
      <c r="F199" s="20">
        <v>0.5</v>
      </c>
      <c r="G199" s="20">
        <v>4</v>
      </c>
      <c r="H199" s="21">
        <f t="shared" si="40"/>
        <v>24.25</v>
      </c>
      <c r="I199" s="22">
        <v>95.81</v>
      </c>
      <c r="J199" s="23">
        <f t="shared" si="41"/>
        <v>2323.3924999999999</v>
      </c>
      <c r="K199" s="24">
        <f t="shared" si="42"/>
        <v>700</v>
      </c>
      <c r="L199" s="20">
        <v>0</v>
      </c>
      <c r="M199" s="23">
        <f t="shared" si="43"/>
        <v>3023.3924999999999</v>
      </c>
    </row>
    <row r="200" spans="1:13">
      <c r="A200" s="19">
        <v>12</v>
      </c>
      <c r="B200" s="48" t="s">
        <v>38</v>
      </c>
      <c r="C200" s="48" t="s">
        <v>67</v>
      </c>
      <c r="D200" s="20" t="s">
        <v>17</v>
      </c>
      <c r="E200" s="20">
        <v>97</v>
      </c>
      <c r="F200" s="20">
        <v>0.5</v>
      </c>
      <c r="G200" s="20">
        <v>4</v>
      </c>
      <c r="H200" s="21">
        <f t="shared" si="40"/>
        <v>24.25</v>
      </c>
      <c r="I200" s="22">
        <v>95.81</v>
      </c>
      <c r="J200" s="23">
        <f t="shared" si="41"/>
        <v>2323.3924999999999</v>
      </c>
      <c r="K200" s="24">
        <f t="shared" si="42"/>
        <v>700</v>
      </c>
      <c r="L200" s="20">
        <v>0</v>
      </c>
      <c r="M200" s="23">
        <f t="shared" si="43"/>
        <v>3023.3924999999999</v>
      </c>
    </row>
    <row r="201" spans="1:13">
      <c r="A201" s="19">
        <v>13</v>
      </c>
      <c r="B201" s="48" t="s">
        <v>39</v>
      </c>
      <c r="C201" s="48" t="s">
        <v>67</v>
      </c>
      <c r="D201" s="20" t="s">
        <v>17</v>
      </c>
      <c r="E201" s="20">
        <v>97</v>
      </c>
      <c r="F201" s="20">
        <v>0.5</v>
      </c>
      <c r="G201" s="20">
        <v>4</v>
      </c>
      <c r="H201" s="21">
        <f t="shared" si="40"/>
        <v>24.25</v>
      </c>
      <c r="I201" s="22">
        <v>95.81</v>
      </c>
      <c r="J201" s="23">
        <f t="shared" si="41"/>
        <v>2323.3924999999999</v>
      </c>
      <c r="K201" s="24">
        <f t="shared" si="42"/>
        <v>700</v>
      </c>
      <c r="L201" s="20">
        <v>0</v>
      </c>
      <c r="M201" s="23">
        <f t="shared" si="43"/>
        <v>3023.3924999999999</v>
      </c>
    </row>
    <row r="202" spans="1:13">
      <c r="A202" s="19">
        <v>14</v>
      </c>
      <c r="B202" s="48" t="s">
        <v>39</v>
      </c>
      <c r="C202" s="48" t="s">
        <v>67</v>
      </c>
      <c r="D202" s="20" t="s">
        <v>17</v>
      </c>
      <c r="E202" s="20">
        <v>97</v>
      </c>
      <c r="F202" s="20">
        <v>0.5</v>
      </c>
      <c r="G202" s="20">
        <v>4</v>
      </c>
      <c r="H202" s="21">
        <f t="shared" si="40"/>
        <v>24.25</v>
      </c>
      <c r="I202" s="22">
        <v>95.81</v>
      </c>
      <c r="J202" s="23">
        <f t="shared" si="41"/>
        <v>2323.3924999999999</v>
      </c>
      <c r="K202" s="24">
        <f t="shared" si="42"/>
        <v>700</v>
      </c>
      <c r="L202" s="20">
        <v>0</v>
      </c>
      <c r="M202" s="23">
        <f t="shared" si="43"/>
        <v>3023.3924999999999</v>
      </c>
    </row>
    <row r="203" spans="1:13">
      <c r="A203" s="19">
        <v>15</v>
      </c>
      <c r="B203" s="48" t="s">
        <v>40</v>
      </c>
      <c r="C203" s="48" t="s">
        <v>67</v>
      </c>
      <c r="D203" s="20" t="s">
        <v>17</v>
      </c>
      <c r="E203" s="20">
        <v>97</v>
      </c>
      <c r="F203" s="20">
        <v>0.5</v>
      </c>
      <c r="G203" s="20">
        <v>4</v>
      </c>
      <c r="H203" s="21">
        <f t="shared" si="40"/>
        <v>24.25</v>
      </c>
      <c r="I203" s="22">
        <v>95.81</v>
      </c>
      <c r="J203" s="23">
        <f t="shared" si="41"/>
        <v>2323.3924999999999</v>
      </c>
      <c r="K203" s="24">
        <f t="shared" si="42"/>
        <v>700</v>
      </c>
      <c r="L203" s="20">
        <v>0</v>
      </c>
      <c r="M203" s="23">
        <f t="shared" si="43"/>
        <v>3023.3924999999999</v>
      </c>
    </row>
    <row r="204" spans="1:13">
      <c r="A204" s="19">
        <v>16</v>
      </c>
      <c r="B204" s="48" t="s">
        <v>40</v>
      </c>
      <c r="C204" s="48" t="s">
        <v>67</v>
      </c>
      <c r="D204" s="20" t="s">
        <v>17</v>
      </c>
      <c r="E204" s="20">
        <v>97</v>
      </c>
      <c r="F204" s="20">
        <v>0.5</v>
      </c>
      <c r="G204" s="20">
        <v>4</v>
      </c>
      <c r="H204" s="21">
        <f>E204/G204</f>
        <v>24.25</v>
      </c>
      <c r="I204" s="22">
        <v>95.81</v>
      </c>
      <c r="J204" s="23">
        <f>SUM(H204*I204)</f>
        <v>2323.3924999999999</v>
      </c>
      <c r="K204" s="24">
        <f>SUM(F204*1400)</f>
        <v>700</v>
      </c>
      <c r="L204" s="20">
        <v>0</v>
      </c>
      <c r="M204" s="23">
        <f>SUM(J204:L204)</f>
        <v>3023.3924999999999</v>
      </c>
    </row>
    <row r="205" spans="1:13">
      <c r="A205" s="19">
        <v>17</v>
      </c>
      <c r="B205" s="48" t="s">
        <v>41</v>
      </c>
      <c r="C205" s="48" t="s">
        <v>67</v>
      </c>
      <c r="D205" s="20" t="s">
        <v>17</v>
      </c>
      <c r="E205" s="20">
        <v>97</v>
      </c>
      <c r="F205" s="20">
        <v>0.5</v>
      </c>
      <c r="G205" s="20">
        <v>4</v>
      </c>
      <c r="H205" s="21">
        <f>E205/G205</f>
        <v>24.25</v>
      </c>
      <c r="I205" s="22">
        <v>95.81</v>
      </c>
      <c r="J205" s="23">
        <f>SUM(H205*I205)</f>
        <v>2323.3924999999999</v>
      </c>
      <c r="K205" s="24">
        <f>SUM(F205*1400)</f>
        <v>700</v>
      </c>
      <c r="L205" s="20">
        <v>0</v>
      </c>
      <c r="M205" s="23">
        <f>SUM(J205:L205)</f>
        <v>3023.3924999999999</v>
      </c>
    </row>
    <row r="206" spans="1:13" ht="15" customHeight="1">
      <c r="A206" s="19">
        <v>18</v>
      </c>
      <c r="B206" s="48" t="s">
        <v>41</v>
      </c>
      <c r="C206" s="48" t="s">
        <v>67</v>
      </c>
      <c r="D206" s="20" t="s">
        <v>17</v>
      </c>
      <c r="E206" s="20">
        <v>97</v>
      </c>
      <c r="F206" s="20">
        <v>0.5</v>
      </c>
      <c r="G206" s="20">
        <v>4</v>
      </c>
      <c r="H206" s="21">
        <f>E206/G206</f>
        <v>24.25</v>
      </c>
      <c r="I206" s="22">
        <v>95.81</v>
      </c>
      <c r="J206" s="23">
        <f>SUM(H206*I206)</f>
        <v>2323.3924999999999</v>
      </c>
      <c r="K206" s="24">
        <f>SUM(F206*1400)</f>
        <v>700</v>
      </c>
      <c r="L206" s="20">
        <v>0</v>
      </c>
      <c r="M206" s="23">
        <f>SUM(J206:L206)</f>
        <v>3023.3924999999999</v>
      </c>
    </row>
    <row r="207" spans="1:13">
      <c r="A207" s="19">
        <v>19</v>
      </c>
      <c r="B207" s="48" t="s">
        <v>42</v>
      </c>
      <c r="C207" s="48" t="s">
        <v>67</v>
      </c>
      <c r="D207" s="20" t="s">
        <v>17</v>
      </c>
      <c r="E207" s="20">
        <v>97</v>
      </c>
      <c r="F207" s="20">
        <v>0.5</v>
      </c>
      <c r="G207" s="20">
        <v>4</v>
      </c>
      <c r="H207" s="21">
        <f>E207/G207</f>
        <v>24.25</v>
      </c>
      <c r="I207" s="22">
        <v>95.81</v>
      </c>
      <c r="J207" s="23">
        <f>SUM(H207*I207)</f>
        <v>2323.3924999999999</v>
      </c>
      <c r="K207" s="24">
        <f>SUM(F207*1400)</f>
        <v>700</v>
      </c>
      <c r="L207" s="20">
        <v>0</v>
      </c>
      <c r="M207" s="23">
        <f>SUM(J207:L207)</f>
        <v>3023.3924999999999</v>
      </c>
    </row>
    <row r="208" spans="1:13">
      <c r="A208" s="19">
        <v>20</v>
      </c>
      <c r="B208" s="48" t="s">
        <v>42</v>
      </c>
      <c r="C208" s="48" t="s">
        <v>67</v>
      </c>
      <c r="D208" s="20" t="s">
        <v>17</v>
      </c>
      <c r="E208" s="20">
        <v>97</v>
      </c>
      <c r="F208" s="20">
        <v>0.5</v>
      </c>
      <c r="G208" s="20">
        <v>4</v>
      </c>
      <c r="H208" s="21">
        <f>E208/G208</f>
        <v>24.25</v>
      </c>
      <c r="I208" s="22">
        <v>95.81</v>
      </c>
      <c r="J208" s="23">
        <f>SUM(H208*I208)</f>
        <v>2323.3924999999999</v>
      </c>
      <c r="K208" s="24">
        <f>SUM(F208*1400)</f>
        <v>700</v>
      </c>
      <c r="L208" s="20">
        <v>0</v>
      </c>
      <c r="M208" s="23">
        <f>SUM(J208:L208)</f>
        <v>3023.3924999999999</v>
      </c>
    </row>
    <row r="209" spans="1:13">
      <c r="A209" s="19">
        <v>21</v>
      </c>
      <c r="B209" s="48" t="s">
        <v>43</v>
      </c>
      <c r="C209" s="48" t="s">
        <v>67</v>
      </c>
      <c r="D209" s="20" t="s">
        <v>17</v>
      </c>
      <c r="E209" s="20">
        <v>97</v>
      </c>
      <c r="F209" s="20">
        <v>0.5</v>
      </c>
      <c r="G209" s="20">
        <v>4</v>
      </c>
      <c r="H209" s="21">
        <f t="shared" ref="H209:H212" si="44">E209/G209</f>
        <v>24.25</v>
      </c>
      <c r="I209" s="22">
        <v>95.81</v>
      </c>
      <c r="J209" s="23">
        <f t="shared" ref="J209:J212" si="45">SUM(H209*I209)</f>
        <v>2323.3924999999999</v>
      </c>
      <c r="K209" s="24">
        <f t="shared" ref="K209:K212" si="46">SUM(F209*1400)</f>
        <v>700</v>
      </c>
      <c r="L209" s="20">
        <v>0</v>
      </c>
      <c r="M209" s="23">
        <f t="shared" ref="M209:M212" si="47">SUM(J209:L209)</f>
        <v>3023.3924999999999</v>
      </c>
    </row>
    <row r="210" spans="1:13">
      <c r="A210" s="19">
        <v>22</v>
      </c>
      <c r="B210" s="48" t="s">
        <v>43</v>
      </c>
      <c r="C210" s="48" t="s">
        <v>67</v>
      </c>
      <c r="D210" s="20" t="s">
        <v>17</v>
      </c>
      <c r="E210" s="20">
        <v>97</v>
      </c>
      <c r="F210" s="20">
        <v>0.5</v>
      </c>
      <c r="G210" s="20">
        <v>4</v>
      </c>
      <c r="H210" s="21">
        <f t="shared" si="44"/>
        <v>24.25</v>
      </c>
      <c r="I210" s="22">
        <v>95.81</v>
      </c>
      <c r="J210" s="23">
        <f t="shared" si="45"/>
        <v>2323.3924999999999</v>
      </c>
      <c r="K210" s="24">
        <f t="shared" si="46"/>
        <v>700</v>
      </c>
      <c r="L210" s="20">
        <v>0</v>
      </c>
      <c r="M210" s="23">
        <f t="shared" si="47"/>
        <v>3023.3924999999999</v>
      </c>
    </row>
    <row r="211" spans="1:13">
      <c r="A211" s="19">
        <v>23</v>
      </c>
      <c r="B211" s="48" t="s">
        <v>44</v>
      </c>
      <c r="C211" s="48" t="s">
        <v>67</v>
      </c>
      <c r="D211" s="20" t="s">
        <v>17</v>
      </c>
      <c r="E211" s="20">
        <v>97</v>
      </c>
      <c r="F211" s="20">
        <v>0.5</v>
      </c>
      <c r="G211" s="20">
        <v>4</v>
      </c>
      <c r="H211" s="21">
        <f t="shared" si="44"/>
        <v>24.25</v>
      </c>
      <c r="I211" s="22">
        <v>95.81</v>
      </c>
      <c r="J211" s="23">
        <f t="shared" si="45"/>
        <v>2323.3924999999999</v>
      </c>
      <c r="K211" s="24">
        <f t="shared" si="46"/>
        <v>700</v>
      </c>
      <c r="L211" s="20">
        <v>0</v>
      </c>
      <c r="M211" s="23">
        <f t="shared" si="47"/>
        <v>3023.3924999999999</v>
      </c>
    </row>
    <row r="212" spans="1:13">
      <c r="A212" s="19">
        <v>24</v>
      </c>
      <c r="B212" s="48" t="s">
        <v>44</v>
      </c>
      <c r="C212" s="48" t="s">
        <v>67</v>
      </c>
      <c r="D212" s="20" t="s">
        <v>17</v>
      </c>
      <c r="E212" s="20">
        <v>97</v>
      </c>
      <c r="F212" s="20">
        <v>0.5</v>
      </c>
      <c r="G212" s="20">
        <v>4</v>
      </c>
      <c r="H212" s="21">
        <f t="shared" si="44"/>
        <v>24.25</v>
      </c>
      <c r="I212" s="22">
        <v>95.81</v>
      </c>
      <c r="J212" s="23">
        <f t="shared" si="45"/>
        <v>2323.3924999999999</v>
      </c>
      <c r="K212" s="24">
        <f t="shared" si="46"/>
        <v>700</v>
      </c>
      <c r="L212" s="20">
        <v>0</v>
      </c>
      <c r="M212" s="23">
        <f t="shared" si="47"/>
        <v>3023.3924999999999</v>
      </c>
    </row>
    <row r="213" spans="1:13">
      <c r="A213" s="19">
        <v>25</v>
      </c>
      <c r="B213" s="48" t="s">
        <v>45</v>
      </c>
      <c r="C213" s="48" t="s">
        <v>67</v>
      </c>
      <c r="D213" s="20" t="s">
        <v>17</v>
      </c>
      <c r="E213" s="20">
        <v>97</v>
      </c>
      <c r="F213" s="20">
        <v>0.5</v>
      </c>
      <c r="G213" s="20">
        <v>4</v>
      </c>
      <c r="H213" s="21">
        <f t="shared" ref="H213:H248" si="48">E213/G213</f>
        <v>24.25</v>
      </c>
      <c r="I213" s="22">
        <v>95.81</v>
      </c>
      <c r="J213" s="23">
        <f t="shared" ref="J213:J248" si="49">SUM(H213*I213)</f>
        <v>2323.3924999999999</v>
      </c>
      <c r="K213" s="24">
        <f t="shared" ref="K213:K248" si="50">SUM(F213*1400)</f>
        <v>700</v>
      </c>
      <c r="L213" s="20">
        <v>0</v>
      </c>
      <c r="M213" s="23">
        <f t="shared" ref="M213:M248" si="51">SUM(J213:L213)</f>
        <v>3023.3924999999999</v>
      </c>
    </row>
    <row r="214" spans="1:13">
      <c r="A214" s="19">
        <v>26</v>
      </c>
      <c r="B214" s="48" t="s">
        <v>45</v>
      </c>
      <c r="C214" s="48" t="s">
        <v>67</v>
      </c>
      <c r="D214" s="20" t="s">
        <v>17</v>
      </c>
      <c r="E214" s="20">
        <v>97</v>
      </c>
      <c r="F214" s="20">
        <v>0.5</v>
      </c>
      <c r="G214" s="20">
        <v>4</v>
      </c>
      <c r="H214" s="21">
        <f t="shared" si="48"/>
        <v>24.25</v>
      </c>
      <c r="I214" s="22">
        <v>95.81</v>
      </c>
      <c r="J214" s="23">
        <f t="shared" si="49"/>
        <v>2323.3924999999999</v>
      </c>
      <c r="K214" s="24">
        <f t="shared" si="50"/>
        <v>700</v>
      </c>
      <c r="L214" s="20">
        <v>0</v>
      </c>
      <c r="M214" s="23">
        <f t="shared" si="51"/>
        <v>3023.3924999999999</v>
      </c>
    </row>
    <row r="215" spans="1:13">
      <c r="A215" s="19">
        <v>27</v>
      </c>
      <c r="B215" s="48" t="s">
        <v>46</v>
      </c>
      <c r="C215" s="48" t="s">
        <v>67</v>
      </c>
      <c r="D215" s="20" t="s">
        <v>17</v>
      </c>
      <c r="E215" s="20">
        <v>97</v>
      </c>
      <c r="F215" s="20">
        <v>0.5</v>
      </c>
      <c r="G215" s="20">
        <v>4</v>
      </c>
      <c r="H215" s="21">
        <f t="shared" si="48"/>
        <v>24.25</v>
      </c>
      <c r="I215" s="22">
        <v>95.81</v>
      </c>
      <c r="J215" s="23">
        <f t="shared" si="49"/>
        <v>2323.3924999999999</v>
      </c>
      <c r="K215" s="24">
        <f t="shared" si="50"/>
        <v>700</v>
      </c>
      <c r="L215" s="20">
        <v>0</v>
      </c>
      <c r="M215" s="23">
        <f t="shared" si="51"/>
        <v>3023.3924999999999</v>
      </c>
    </row>
    <row r="216" spans="1:13">
      <c r="A216" s="19">
        <v>28</v>
      </c>
      <c r="B216" s="48" t="s">
        <v>46</v>
      </c>
      <c r="C216" s="48" t="s">
        <v>67</v>
      </c>
      <c r="D216" s="20" t="s">
        <v>17</v>
      </c>
      <c r="E216" s="20">
        <v>97</v>
      </c>
      <c r="F216" s="20">
        <v>0.5</v>
      </c>
      <c r="G216" s="20">
        <v>4</v>
      </c>
      <c r="H216" s="21">
        <f t="shared" si="48"/>
        <v>24.25</v>
      </c>
      <c r="I216" s="22">
        <v>95.81</v>
      </c>
      <c r="J216" s="23">
        <f t="shared" si="49"/>
        <v>2323.3924999999999</v>
      </c>
      <c r="K216" s="24">
        <f t="shared" si="50"/>
        <v>700</v>
      </c>
      <c r="L216" s="20">
        <v>0</v>
      </c>
      <c r="M216" s="23">
        <f t="shared" si="51"/>
        <v>3023.3924999999999</v>
      </c>
    </row>
    <row r="217" spans="1:13">
      <c r="A217" s="19">
        <v>29</v>
      </c>
      <c r="B217" s="48" t="s">
        <v>47</v>
      </c>
      <c r="C217" s="48" t="s">
        <v>67</v>
      </c>
      <c r="D217" s="20" t="s">
        <v>17</v>
      </c>
      <c r="E217" s="20">
        <v>97</v>
      </c>
      <c r="F217" s="20">
        <v>0.5</v>
      </c>
      <c r="G217" s="20">
        <v>4</v>
      </c>
      <c r="H217" s="21">
        <f t="shared" si="48"/>
        <v>24.25</v>
      </c>
      <c r="I217" s="22">
        <v>95.81</v>
      </c>
      <c r="J217" s="23">
        <f t="shared" si="49"/>
        <v>2323.3924999999999</v>
      </c>
      <c r="K217" s="24">
        <f t="shared" si="50"/>
        <v>700</v>
      </c>
      <c r="L217" s="20">
        <v>0</v>
      </c>
      <c r="M217" s="23">
        <f t="shared" si="51"/>
        <v>3023.3924999999999</v>
      </c>
    </row>
    <row r="218" spans="1:13">
      <c r="A218" s="19">
        <v>30</v>
      </c>
      <c r="B218" s="48" t="s">
        <v>47</v>
      </c>
      <c r="C218" s="48" t="s">
        <v>67</v>
      </c>
      <c r="D218" s="20" t="s">
        <v>17</v>
      </c>
      <c r="E218" s="20">
        <v>97</v>
      </c>
      <c r="F218" s="20">
        <v>0.5</v>
      </c>
      <c r="G218" s="20">
        <v>4</v>
      </c>
      <c r="H218" s="21">
        <f t="shared" si="48"/>
        <v>24.25</v>
      </c>
      <c r="I218" s="22">
        <v>95.81</v>
      </c>
      <c r="J218" s="23">
        <f t="shared" si="49"/>
        <v>2323.3924999999999</v>
      </c>
      <c r="K218" s="24">
        <f t="shared" si="50"/>
        <v>700</v>
      </c>
      <c r="L218" s="20">
        <v>0</v>
      </c>
      <c r="M218" s="23">
        <f t="shared" si="51"/>
        <v>3023.3924999999999</v>
      </c>
    </row>
    <row r="219" spans="1:13">
      <c r="A219" s="19">
        <v>31</v>
      </c>
      <c r="B219" s="48" t="s">
        <v>68</v>
      </c>
      <c r="C219" s="48" t="s">
        <v>67</v>
      </c>
      <c r="D219" s="20" t="s">
        <v>17</v>
      </c>
      <c r="E219" s="20">
        <v>97</v>
      </c>
      <c r="F219" s="20">
        <v>0.5</v>
      </c>
      <c r="G219" s="20">
        <v>4</v>
      </c>
      <c r="H219" s="21">
        <f t="shared" si="48"/>
        <v>24.25</v>
      </c>
      <c r="I219" s="22">
        <v>95.81</v>
      </c>
      <c r="J219" s="23">
        <f t="shared" si="49"/>
        <v>2323.3924999999999</v>
      </c>
      <c r="K219" s="24">
        <f t="shared" si="50"/>
        <v>700</v>
      </c>
      <c r="L219" s="20">
        <v>0</v>
      </c>
      <c r="M219" s="23">
        <f t="shared" si="51"/>
        <v>3023.3924999999999</v>
      </c>
    </row>
    <row r="220" spans="1:13">
      <c r="A220" s="19">
        <v>32</v>
      </c>
      <c r="B220" s="48" t="s">
        <v>68</v>
      </c>
      <c r="C220" s="48" t="s">
        <v>67</v>
      </c>
      <c r="D220" s="20" t="s">
        <v>17</v>
      </c>
      <c r="E220" s="20">
        <v>97</v>
      </c>
      <c r="F220" s="20">
        <v>0.5</v>
      </c>
      <c r="G220" s="20">
        <v>4</v>
      </c>
      <c r="H220" s="21">
        <f t="shared" si="48"/>
        <v>24.25</v>
      </c>
      <c r="I220" s="22">
        <v>95.81</v>
      </c>
      <c r="J220" s="23">
        <f t="shared" si="49"/>
        <v>2323.3924999999999</v>
      </c>
      <c r="K220" s="24">
        <f t="shared" si="50"/>
        <v>700</v>
      </c>
      <c r="L220" s="20">
        <v>0</v>
      </c>
      <c r="M220" s="23">
        <f t="shared" si="51"/>
        <v>3023.3924999999999</v>
      </c>
    </row>
    <row r="221" spans="1:13">
      <c r="A221" s="19">
        <v>33</v>
      </c>
      <c r="B221" s="48" t="s">
        <v>48</v>
      </c>
      <c r="C221" s="48" t="s">
        <v>69</v>
      </c>
      <c r="D221" s="20" t="s">
        <v>17</v>
      </c>
      <c r="E221" s="20">
        <v>100</v>
      </c>
      <c r="F221" s="20">
        <v>0.5</v>
      </c>
      <c r="G221" s="20">
        <v>4</v>
      </c>
      <c r="H221" s="21">
        <f t="shared" si="48"/>
        <v>25</v>
      </c>
      <c r="I221" s="22">
        <v>95.81</v>
      </c>
      <c r="J221" s="23">
        <f t="shared" si="49"/>
        <v>2395.25</v>
      </c>
      <c r="K221" s="24">
        <f t="shared" si="50"/>
        <v>700</v>
      </c>
      <c r="L221" s="20">
        <f t="shared" ref="L221:L226" si="52">630+320</f>
        <v>950</v>
      </c>
      <c r="M221" s="23">
        <f t="shared" si="51"/>
        <v>4045.25</v>
      </c>
    </row>
    <row r="222" spans="1:13">
      <c r="A222" s="19">
        <v>34</v>
      </c>
      <c r="B222" s="48" t="s">
        <v>48</v>
      </c>
      <c r="C222" s="48" t="s">
        <v>69</v>
      </c>
      <c r="D222" s="20" t="s">
        <v>17</v>
      </c>
      <c r="E222" s="20">
        <v>100</v>
      </c>
      <c r="F222" s="20">
        <v>0.5</v>
      </c>
      <c r="G222" s="20">
        <v>4</v>
      </c>
      <c r="H222" s="21">
        <f t="shared" si="48"/>
        <v>25</v>
      </c>
      <c r="I222" s="22">
        <v>95.81</v>
      </c>
      <c r="J222" s="23">
        <f t="shared" si="49"/>
        <v>2395.25</v>
      </c>
      <c r="K222" s="24">
        <f t="shared" si="50"/>
        <v>700</v>
      </c>
      <c r="L222" s="20">
        <f t="shared" si="52"/>
        <v>950</v>
      </c>
      <c r="M222" s="23">
        <f t="shared" si="51"/>
        <v>4045.25</v>
      </c>
    </row>
    <row r="223" spans="1:13">
      <c r="A223" s="19">
        <v>35</v>
      </c>
      <c r="B223" s="48" t="s">
        <v>49</v>
      </c>
      <c r="C223" s="48" t="s">
        <v>69</v>
      </c>
      <c r="D223" s="20" t="s">
        <v>17</v>
      </c>
      <c r="E223" s="20">
        <v>100</v>
      </c>
      <c r="F223" s="20">
        <v>0.5</v>
      </c>
      <c r="G223" s="20">
        <v>4</v>
      </c>
      <c r="H223" s="21">
        <f t="shared" si="48"/>
        <v>25</v>
      </c>
      <c r="I223" s="22">
        <v>95.81</v>
      </c>
      <c r="J223" s="23">
        <f t="shared" si="49"/>
        <v>2395.25</v>
      </c>
      <c r="K223" s="24">
        <f t="shared" si="50"/>
        <v>700</v>
      </c>
      <c r="L223" s="20">
        <f t="shared" si="52"/>
        <v>950</v>
      </c>
      <c r="M223" s="23">
        <f t="shared" si="51"/>
        <v>4045.25</v>
      </c>
    </row>
    <row r="224" spans="1:13">
      <c r="A224" s="19">
        <v>36</v>
      </c>
      <c r="B224" s="48" t="s">
        <v>49</v>
      </c>
      <c r="C224" s="48" t="s">
        <v>69</v>
      </c>
      <c r="D224" s="20" t="s">
        <v>17</v>
      </c>
      <c r="E224" s="20">
        <v>100</v>
      </c>
      <c r="F224" s="20">
        <v>0.5</v>
      </c>
      <c r="G224" s="20">
        <v>4</v>
      </c>
      <c r="H224" s="21">
        <f t="shared" si="48"/>
        <v>25</v>
      </c>
      <c r="I224" s="22">
        <v>95.81</v>
      </c>
      <c r="J224" s="23">
        <f t="shared" si="49"/>
        <v>2395.25</v>
      </c>
      <c r="K224" s="24">
        <f t="shared" si="50"/>
        <v>700</v>
      </c>
      <c r="L224" s="20">
        <f t="shared" si="52"/>
        <v>950</v>
      </c>
      <c r="M224" s="23">
        <f t="shared" si="51"/>
        <v>4045.25</v>
      </c>
    </row>
    <row r="225" spans="1:13">
      <c r="A225" s="19">
        <v>37</v>
      </c>
      <c r="B225" s="48" t="s">
        <v>50</v>
      </c>
      <c r="C225" s="48" t="s">
        <v>69</v>
      </c>
      <c r="D225" s="20" t="s">
        <v>17</v>
      </c>
      <c r="E225" s="20">
        <v>100</v>
      </c>
      <c r="F225" s="20">
        <v>0.5</v>
      </c>
      <c r="G225" s="20">
        <v>4</v>
      </c>
      <c r="H225" s="21">
        <f t="shared" si="48"/>
        <v>25</v>
      </c>
      <c r="I225" s="22">
        <v>95.81</v>
      </c>
      <c r="J225" s="23">
        <f t="shared" si="49"/>
        <v>2395.25</v>
      </c>
      <c r="K225" s="24">
        <f t="shared" si="50"/>
        <v>700</v>
      </c>
      <c r="L225" s="20">
        <f t="shared" si="52"/>
        <v>950</v>
      </c>
      <c r="M225" s="23">
        <f t="shared" si="51"/>
        <v>4045.25</v>
      </c>
    </row>
    <row r="226" spans="1:13">
      <c r="A226" s="19">
        <v>38</v>
      </c>
      <c r="B226" s="48" t="s">
        <v>50</v>
      </c>
      <c r="C226" s="48" t="s">
        <v>69</v>
      </c>
      <c r="D226" s="20" t="s">
        <v>17</v>
      </c>
      <c r="E226" s="20">
        <v>100</v>
      </c>
      <c r="F226" s="20">
        <v>0.5</v>
      </c>
      <c r="G226" s="20">
        <v>4</v>
      </c>
      <c r="H226" s="21">
        <f t="shared" si="48"/>
        <v>25</v>
      </c>
      <c r="I226" s="22">
        <v>95.81</v>
      </c>
      <c r="J226" s="23">
        <f t="shared" si="49"/>
        <v>2395.25</v>
      </c>
      <c r="K226" s="24">
        <f t="shared" si="50"/>
        <v>700</v>
      </c>
      <c r="L226" s="20">
        <f t="shared" si="52"/>
        <v>950</v>
      </c>
      <c r="M226" s="23">
        <f t="shared" si="51"/>
        <v>4045.25</v>
      </c>
    </row>
    <row r="227" spans="1:13">
      <c r="A227" s="19">
        <v>39</v>
      </c>
      <c r="B227" s="48" t="s">
        <v>51</v>
      </c>
      <c r="C227" s="48" t="s">
        <v>69</v>
      </c>
      <c r="D227" s="20" t="s">
        <v>17</v>
      </c>
      <c r="E227" s="20">
        <v>100</v>
      </c>
      <c r="F227" s="20">
        <v>0.5</v>
      </c>
      <c r="G227" s="20">
        <v>4</v>
      </c>
      <c r="H227" s="21">
        <f t="shared" si="48"/>
        <v>25</v>
      </c>
      <c r="I227" s="22">
        <v>95.81</v>
      </c>
      <c r="J227" s="23">
        <f t="shared" si="49"/>
        <v>2395.25</v>
      </c>
      <c r="K227" s="24">
        <f t="shared" si="50"/>
        <v>700</v>
      </c>
      <c r="L227" s="20">
        <f t="shared" ref="L227:L248" si="53">630+320</f>
        <v>950</v>
      </c>
      <c r="M227" s="23">
        <f t="shared" si="51"/>
        <v>4045.25</v>
      </c>
    </row>
    <row r="228" spans="1:13">
      <c r="A228" s="19">
        <v>40</v>
      </c>
      <c r="B228" s="48" t="s">
        <v>51</v>
      </c>
      <c r="C228" s="48" t="s">
        <v>69</v>
      </c>
      <c r="D228" s="20" t="s">
        <v>17</v>
      </c>
      <c r="E228" s="20">
        <v>100</v>
      </c>
      <c r="F228" s="20">
        <v>0.5</v>
      </c>
      <c r="G228" s="20">
        <v>4</v>
      </c>
      <c r="H228" s="21">
        <f t="shared" si="48"/>
        <v>25</v>
      </c>
      <c r="I228" s="22">
        <v>95.81</v>
      </c>
      <c r="J228" s="23">
        <f t="shared" si="49"/>
        <v>2395.25</v>
      </c>
      <c r="K228" s="24">
        <f t="shared" si="50"/>
        <v>700</v>
      </c>
      <c r="L228" s="20">
        <f t="shared" si="53"/>
        <v>950</v>
      </c>
      <c r="M228" s="23">
        <f t="shared" si="51"/>
        <v>4045.25</v>
      </c>
    </row>
    <row r="229" spans="1:13">
      <c r="A229" s="19">
        <v>41</v>
      </c>
      <c r="B229" s="48" t="s">
        <v>52</v>
      </c>
      <c r="C229" s="48" t="s">
        <v>69</v>
      </c>
      <c r="D229" s="20" t="s">
        <v>17</v>
      </c>
      <c r="E229" s="20">
        <v>100</v>
      </c>
      <c r="F229" s="20">
        <v>0.5</v>
      </c>
      <c r="G229" s="20">
        <v>4</v>
      </c>
      <c r="H229" s="21">
        <f t="shared" si="48"/>
        <v>25</v>
      </c>
      <c r="I229" s="22">
        <v>95.81</v>
      </c>
      <c r="J229" s="23">
        <f t="shared" si="49"/>
        <v>2395.25</v>
      </c>
      <c r="K229" s="24">
        <f t="shared" si="50"/>
        <v>700</v>
      </c>
      <c r="L229" s="20">
        <f t="shared" si="53"/>
        <v>950</v>
      </c>
      <c r="M229" s="23">
        <f t="shared" si="51"/>
        <v>4045.25</v>
      </c>
    </row>
    <row r="230" spans="1:13">
      <c r="A230" s="19">
        <v>42</v>
      </c>
      <c r="B230" s="48" t="s">
        <v>52</v>
      </c>
      <c r="C230" s="48" t="s">
        <v>69</v>
      </c>
      <c r="D230" s="20" t="s">
        <v>17</v>
      </c>
      <c r="E230" s="20">
        <v>100</v>
      </c>
      <c r="F230" s="20">
        <v>0.5</v>
      </c>
      <c r="G230" s="20">
        <v>4</v>
      </c>
      <c r="H230" s="21">
        <f t="shared" si="48"/>
        <v>25</v>
      </c>
      <c r="I230" s="22">
        <v>95.81</v>
      </c>
      <c r="J230" s="23">
        <f t="shared" si="49"/>
        <v>2395.25</v>
      </c>
      <c r="K230" s="24">
        <f t="shared" si="50"/>
        <v>700</v>
      </c>
      <c r="L230" s="20">
        <f t="shared" si="53"/>
        <v>950</v>
      </c>
      <c r="M230" s="23">
        <f t="shared" si="51"/>
        <v>4045.25</v>
      </c>
    </row>
    <row r="231" spans="1:13">
      <c r="A231" s="19">
        <v>43</v>
      </c>
      <c r="B231" s="48" t="s">
        <v>53</v>
      </c>
      <c r="C231" s="48" t="s">
        <v>69</v>
      </c>
      <c r="D231" s="20" t="s">
        <v>17</v>
      </c>
      <c r="E231" s="20">
        <v>100</v>
      </c>
      <c r="F231" s="20">
        <v>0.5</v>
      </c>
      <c r="G231" s="20">
        <v>4</v>
      </c>
      <c r="H231" s="21">
        <f t="shared" si="48"/>
        <v>25</v>
      </c>
      <c r="I231" s="22">
        <v>95.81</v>
      </c>
      <c r="J231" s="23">
        <f t="shared" si="49"/>
        <v>2395.25</v>
      </c>
      <c r="K231" s="24">
        <f t="shared" si="50"/>
        <v>700</v>
      </c>
      <c r="L231" s="20">
        <f t="shared" si="53"/>
        <v>950</v>
      </c>
      <c r="M231" s="23">
        <f t="shared" si="51"/>
        <v>4045.25</v>
      </c>
    </row>
    <row r="232" spans="1:13">
      <c r="A232" s="19">
        <v>44</v>
      </c>
      <c r="B232" s="48" t="s">
        <v>53</v>
      </c>
      <c r="C232" s="48" t="s">
        <v>69</v>
      </c>
      <c r="D232" s="20" t="s">
        <v>17</v>
      </c>
      <c r="E232" s="20">
        <v>100</v>
      </c>
      <c r="F232" s="20">
        <v>0.5</v>
      </c>
      <c r="G232" s="20">
        <v>4</v>
      </c>
      <c r="H232" s="21">
        <f t="shared" si="48"/>
        <v>25</v>
      </c>
      <c r="I232" s="22">
        <v>95.81</v>
      </c>
      <c r="J232" s="23">
        <f t="shared" si="49"/>
        <v>2395.25</v>
      </c>
      <c r="K232" s="24">
        <f t="shared" si="50"/>
        <v>700</v>
      </c>
      <c r="L232" s="20">
        <f t="shared" si="53"/>
        <v>950</v>
      </c>
      <c r="M232" s="23">
        <f t="shared" si="51"/>
        <v>4045.25</v>
      </c>
    </row>
    <row r="233" spans="1:13">
      <c r="A233" s="19">
        <v>45</v>
      </c>
      <c r="B233" s="48" t="s">
        <v>54</v>
      </c>
      <c r="C233" s="48" t="s">
        <v>69</v>
      </c>
      <c r="D233" s="20" t="s">
        <v>17</v>
      </c>
      <c r="E233" s="20">
        <v>100</v>
      </c>
      <c r="F233" s="20">
        <v>0.5</v>
      </c>
      <c r="G233" s="20">
        <v>4</v>
      </c>
      <c r="H233" s="21">
        <f t="shared" si="48"/>
        <v>25</v>
      </c>
      <c r="I233" s="22">
        <v>95.81</v>
      </c>
      <c r="J233" s="23">
        <f t="shared" si="49"/>
        <v>2395.25</v>
      </c>
      <c r="K233" s="24">
        <f t="shared" si="50"/>
        <v>700</v>
      </c>
      <c r="L233" s="20">
        <f t="shared" si="53"/>
        <v>950</v>
      </c>
      <c r="M233" s="23">
        <f t="shared" si="51"/>
        <v>4045.25</v>
      </c>
    </row>
    <row r="234" spans="1:13">
      <c r="A234" s="19">
        <v>46</v>
      </c>
      <c r="B234" s="48" t="s">
        <v>54</v>
      </c>
      <c r="C234" s="48" t="s">
        <v>69</v>
      </c>
      <c r="D234" s="20" t="s">
        <v>17</v>
      </c>
      <c r="E234" s="20">
        <v>100</v>
      </c>
      <c r="F234" s="20">
        <v>0.5</v>
      </c>
      <c r="G234" s="20">
        <v>4</v>
      </c>
      <c r="H234" s="21">
        <f t="shared" si="48"/>
        <v>25</v>
      </c>
      <c r="I234" s="22">
        <v>95.81</v>
      </c>
      <c r="J234" s="23">
        <f t="shared" si="49"/>
        <v>2395.25</v>
      </c>
      <c r="K234" s="24">
        <f t="shared" si="50"/>
        <v>700</v>
      </c>
      <c r="L234" s="20">
        <f t="shared" si="53"/>
        <v>950</v>
      </c>
      <c r="M234" s="23">
        <f t="shared" si="51"/>
        <v>4045.25</v>
      </c>
    </row>
    <row r="235" spans="1:13">
      <c r="A235" s="19">
        <v>47</v>
      </c>
      <c r="B235" s="48" t="s">
        <v>55</v>
      </c>
      <c r="C235" s="48" t="s">
        <v>69</v>
      </c>
      <c r="D235" s="20" t="s">
        <v>17</v>
      </c>
      <c r="E235" s="20">
        <v>100</v>
      </c>
      <c r="F235" s="20">
        <v>0.5</v>
      </c>
      <c r="G235" s="20">
        <v>4</v>
      </c>
      <c r="H235" s="21">
        <f t="shared" si="48"/>
        <v>25</v>
      </c>
      <c r="I235" s="22">
        <v>95.81</v>
      </c>
      <c r="J235" s="23">
        <f t="shared" si="49"/>
        <v>2395.25</v>
      </c>
      <c r="K235" s="24">
        <f t="shared" si="50"/>
        <v>700</v>
      </c>
      <c r="L235" s="20">
        <f t="shared" si="53"/>
        <v>950</v>
      </c>
      <c r="M235" s="23">
        <f t="shared" si="51"/>
        <v>4045.25</v>
      </c>
    </row>
    <row r="236" spans="1:13">
      <c r="A236" s="19">
        <v>48</v>
      </c>
      <c r="B236" s="48" t="s">
        <v>55</v>
      </c>
      <c r="C236" s="48" t="s">
        <v>69</v>
      </c>
      <c r="D236" s="20" t="s">
        <v>17</v>
      </c>
      <c r="E236" s="20">
        <v>100</v>
      </c>
      <c r="F236" s="20">
        <v>0.5</v>
      </c>
      <c r="G236" s="20">
        <v>4</v>
      </c>
      <c r="H236" s="21">
        <f t="shared" si="48"/>
        <v>25</v>
      </c>
      <c r="I236" s="22">
        <v>95.81</v>
      </c>
      <c r="J236" s="23">
        <f t="shared" si="49"/>
        <v>2395.25</v>
      </c>
      <c r="K236" s="24">
        <f t="shared" si="50"/>
        <v>700</v>
      </c>
      <c r="L236" s="20">
        <f t="shared" si="53"/>
        <v>950</v>
      </c>
      <c r="M236" s="23">
        <f t="shared" si="51"/>
        <v>4045.25</v>
      </c>
    </row>
    <row r="237" spans="1:13">
      <c r="A237" s="19">
        <v>49</v>
      </c>
      <c r="B237" s="48" t="s">
        <v>56</v>
      </c>
      <c r="C237" s="48" t="s">
        <v>69</v>
      </c>
      <c r="D237" s="20" t="s">
        <v>17</v>
      </c>
      <c r="E237" s="20">
        <v>100</v>
      </c>
      <c r="F237" s="20">
        <v>0.5</v>
      </c>
      <c r="G237" s="20">
        <v>4</v>
      </c>
      <c r="H237" s="21">
        <f t="shared" si="48"/>
        <v>25</v>
      </c>
      <c r="I237" s="22">
        <v>95.81</v>
      </c>
      <c r="J237" s="23">
        <f t="shared" si="49"/>
        <v>2395.25</v>
      </c>
      <c r="K237" s="24">
        <f t="shared" si="50"/>
        <v>700</v>
      </c>
      <c r="L237" s="20">
        <f t="shared" si="53"/>
        <v>950</v>
      </c>
      <c r="M237" s="23">
        <f t="shared" si="51"/>
        <v>4045.25</v>
      </c>
    </row>
    <row r="238" spans="1:13">
      <c r="A238" s="19">
        <v>50</v>
      </c>
      <c r="B238" s="48" t="s">
        <v>56</v>
      </c>
      <c r="C238" s="48" t="s">
        <v>69</v>
      </c>
      <c r="D238" s="20" t="s">
        <v>17</v>
      </c>
      <c r="E238" s="20">
        <v>100</v>
      </c>
      <c r="F238" s="20">
        <v>0.5</v>
      </c>
      <c r="G238" s="20">
        <v>4</v>
      </c>
      <c r="H238" s="21">
        <f t="shared" si="48"/>
        <v>25</v>
      </c>
      <c r="I238" s="22">
        <v>95.81</v>
      </c>
      <c r="J238" s="23">
        <f t="shared" si="49"/>
        <v>2395.25</v>
      </c>
      <c r="K238" s="24">
        <f t="shared" si="50"/>
        <v>700</v>
      </c>
      <c r="L238" s="20">
        <f t="shared" si="53"/>
        <v>950</v>
      </c>
      <c r="M238" s="23">
        <f t="shared" si="51"/>
        <v>4045.25</v>
      </c>
    </row>
    <row r="239" spans="1:13">
      <c r="A239" s="19">
        <v>51</v>
      </c>
      <c r="B239" s="48" t="s">
        <v>57</v>
      </c>
      <c r="C239" s="48" t="s">
        <v>69</v>
      </c>
      <c r="D239" s="20" t="s">
        <v>17</v>
      </c>
      <c r="E239" s="20">
        <v>100</v>
      </c>
      <c r="F239" s="20">
        <v>0.5</v>
      </c>
      <c r="G239" s="20">
        <v>4</v>
      </c>
      <c r="H239" s="21">
        <f t="shared" si="48"/>
        <v>25</v>
      </c>
      <c r="I239" s="22">
        <v>95.81</v>
      </c>
      <c r="J239" s="23">
        <f t="shared" si="49"/>
        <v>2395.25</v>
      </c>
      <c r="K239" s="24">
        <f t="shared" si="50"/>
        <v>700</v>
      </c>
      <c r="L239" s="20">
        <f t="shared" si="53"/>
        <v>950</v>
      </c>
      <c r="M239" s="23">
        <f t="shared" si="51"/>
        <v>4045.25</v>
      </c>
    </row>
    <row r="240" spans="1:13">
      <c r="A240" s="19">
        <v>52</v>
      </c>
      <c r="B240" s="48" t="s">
        <v>57</v>
      </c>
      <c r="C240" s="48" t="s">
        <v>69</v>
      </c>
      <c r="D240" s="20" t="s">
        <v>17</v>
      </c>
      <c r="E240" s="20">
        <v>100</v>
      </c>
      <c r="F240" s="20">
        <v>0.5</v>
      </c>
      <c r="G240" s="20">
        <v>4</v>
      </c>
      <c r="H240" s="21">
        <f t="shared" si="48"/>
        <v>25</v>
      </c>
      <c r="I240" s="22">
        <v>95.81</v>
      </c>
      <c r="J240" s="23">
        <f t="shared" si="49"/>
        <v>2395.25</v>
      </c>
      <c r="K240" s="24">
        <f t="shared" si="50"/>
        <v>700</v>
      </c>
      <c r="L240" s="20">
        <f t="shared" si="53"/>
        <v>950</v>
      </c>
      <c r="M240" s="23">
        <f t="shared" si="51"/>
        <v>4045.25</v>
      </c>
    </row>
    <row r="241" spans="1:17">
      <c r="A241" s="19">
        <v>53</v>
      </c>
      <c r="B241" s="48" t="s">
        <v>58</v>
      </c>
      <c r="C241" s="48" t="s">
        <v>69</v>
      </c>
      <c r="D241" s="20" t="s">
        <v>17</v>
      </c>
      <c r="E241" s="20">
        <v>100</v>
      </c>
      <c r="F241" s="20">
        <v>0.5</v>
      </c>
      <c r="G241" s="20">
        <v>4</v>
      </c>
      <c r="H241" s="21">
        <f t="shared" si="48"/>
        <v>25</v>
      </c>
      <c r="I241" s="22">
        <v>95.81</v>
      </c>
      <c r="J241" s="23">
        <f t="shared" si="49"/>
        <v>2395.25</v>
      </c>
      <c r="K241" s="24">
        <f t="shared" si="50"/>
        <v>700</v>
      </c>
      <c r="L241" s="20">
        <f t="shared" si="53"/>
        <v>950</v>
      </c>
      <c r="M241" s="23">
        <f t="shared" si="51"/>
        <v>4045.25</v>
      </c>
    </row>
    <row r="242" spans="1:17">
      <c r="A242" s="19">
        <v>54</v>
      </c>
      <c r="B242" s="48" t="s">
        <v>58</v>
      </c>
      <c r="C242" s="48" t="s">
        <v>69</v>
      </c>
      <c r="D242" s="20" t="s">
        <v>17</v>
      </c>
      <c r="E242" s="20">
        <v>100</v>
      </c>
      <c r="F242" s="20">
        <v>0.5</v>
      </c>
      <c r="G242" s="20">
        <v>4</v>
      </c>
      <c r="H242" s="21">
        <f t="shared" si="48"/>
        <v>25</v>
      </c>
      <c r="I242" s="22">
        <v>95.81</v>
      </c>
      <c r="J242" s="23">
        <f t="shared" si="49"/>
        <v>2395.25</v>
      </c>
      <c r="K242" s="24">
        <f t="shared" si="50"/>
        <v>700</v>
      </c>
      <c r="L242" s="20">
        <f t="shared" si="53"/>
        <v>950</v>
      </c>
      <c r="M242" s="23">
        <f t="shared" si="51"/>
        <v>4045.25</v>
      </c>
    </row>
    <row r="243" spans="1:17">
      <c r="A243" s="19">
        <v>55</v>
      </c>
      <c r="B243" s="48" t="s">
        <v>59</v>
      </c>
      <c r="C243" s="48" t="s">
        <v>69</v>
      </c>
      <c r="D243" s="20" t="s">
        <v>17</v>
      </c>
      <c r="E243" s="20">
        <v>100</v>
      </c>
      <c r="F243" s="20">
        <v>0.5</v>
      </c>
      <c r="G243" s="20">
        <v>4</v>
      </c>
      <c r="H243" s="21">
        <f t="shared" si="48"/>
        <v>25</v>
      </c>
      <c r="I243" s="22">
        <v>95.81</v>
      </c>
      <c r="J243" s="23">
        <f t="shared" si="49"/>
        <v>2395.25</v>
      </c>
      <c r="K243" s="24">
        <f t="shared" si="50"/>
        <v>700</v>
      </c>
      <c r="L243" s="20">
        <f t="shared" si="53"/>
        <v>950</v>
      </c>
      <c r="M243" s="23">
        <f t="shared" si="51"/>
        <v>4045.25</v>
      </c>
    </row>
    <row r="244" spans="1:17">
      <c r="A244" s="19">
        <v>56</v>
      </c>
      <c r="B244" s="48" t="s">
        <v>59</v>
      </c>
      <c r="C244" s="48" t="s">
        <v>69</v>
      </c>
      <c r="D244" s="20" t="s">
        <v>17</v>
      </c>
      <c r="E244" s="20">
        <v>100</v>
      </c>
      <c r="F244" s="20">
        <v>0.5</v>
      </c>
      <c r="G244" s="20">
        <v>4</v>
      </c>
      <c r="H244" s="21">
        <f t="shared" si="48"/>
        <v>25</v>
      </c>
      <c r="I244" s="22">
        <v>95.81</v>
      </c>
      <c r="J244" s="23">
        <f t="shared" si="49"/>
        <v>2395.25</v>
      </c>
      <c r="K244" s="24">
        <f t="shared" si="50"/>
        <v>700</v>
      </c>
      <c r="L244" s="20">
        <f t="shared" si="53"/>
        <v>950</v>
      </c>
      <c r="M244" s="23">
        <f t="shared" si="51"/>
        <v>4045.25</v>
      </c>
    </row>
    <row r="245" spans="1:17">
      <c r="A245" s="19">
        <v>57</v>
      </c>
      <c r="B245" s="48" t="s">
        <v>60</v>
      </c>
      <c r="C245" s="48" t="s">
        <v>69</v>
      </c>
      <c r="D245" s="20" t="s">
        <v>17</v>
      </c>
      <c r="E245" s="20">
        <v>100</v>
      </c>
      <c r="F245" s="20">
        <v>0.5</v>
      </c>
      <c r="G245" s="20">
        <v>4</v>
      </c>
      <c r="H245" s="21">
        <f t="shared" si="48"/>
        <v>25</v>
      </c>
      <c r="I245" s="22">
        <v>95.81</v>
      </c>
      <c r="J245" s="23">
        <f t="shared" si="49"/>
        <v>2395.25</v>
      </c>
      <c r="K245" s="24">
        <f t="shared" si="50"/>
        <v>700</v>
      </c>
      <c r="L245" s="20">
        <f t="shared" si="53"/>
        <v>950</v>
      </c>
      <c r="M245" s="23">
        <f t="shared" si="51"/>
        <v>4045.25</v>
      </c>
    </row>
    <row r="246" spans="1:17">
      <c r="A246" s="19">
        <v>58</v>
      </c>
      <c r="B246" s="48" t="s">
        <v>60</v>
      </c>
      <c r="C246" s="48" t="s">
        <v>69</v>
      </c>
      <c r="D246" s="20" t="s">
        <v>17</v>
      </c>
      <c r="E246" s="20">
        <v>100</v>
      </c>
      <c r="F246" s="20">
        <v>0.5</v>
      </c>
      <c r="G246" s="20">
        <v>4</v>
      </c>
      <c r="H246" s="21">
        <f t="shared" si="48"/>
        <v>25</v>
      </c>
      <c r="I246" s="22">
        <v>95.81</v>
      </c>
      <c r="J246" s="23">
        <f t="shared" si="49"/>
        <v>2395.25</v>
      </c>
      <c r="K246" s="24">
        <f t="shared" si="50"/>
        <v>700</v>
      </c>
      <c r="L246" s="20">
        <f t="shared" si="53"/>
        <v>950</v>
      </c>
      <c r="M246" s="23">
        <f t="shared" si="51"/>
        <v>4045.25</v>
      </c>
    </row>
    <row r="247" spans="1:17">
      <c r="A247" s="19">
        <v>59</v>
      </c>
      <c r="B247" s="48" t="s">
        <v>61</v>
      </c>
      <c r="C247" s="48" t="s">
        <v>69</v>
      </c>
      <c r="D247" s="20" t="s">
        <v>17</v>
      </c>
      <c r="E247" s="20">
        <v>100</v>
      </c>
      <c r="F247" s="20">
        <v>0.5</v>
      </c>
      <c r="G247" s="20">
        <v>4</v>
      </c>
      <c r="H247" s="21">
        <f t="shared" si="48"/>
        <v>25</v>
      </c>
      <c r="I247" s="22">
        <v>95.81</v>
      </c>
      <c r="J247" s="23">
        <f t="shared" si="49"/>
        <v>2395.25</v>
      </c>
      <c r="K247" s="24">
        <f t="shared" si="50"/>
        <v>700</v>
      </c>
      <c r="L247" s="20">
        <f t="shared" si="53"/>
        <v>950</v>
      </c>
      <c r="M247" s="23">
        <f t="shared" si="51"/>
        <v>4045.25</v>
      </c>
    </row>
    <row r="248" spans="1:17">
      <c r="A248" s="19">
        <v>60</v>
      </c>
      <c r="B248" s="48" t="s">
        <v>61</v>
      </c>
      <c r="C248" s="48" t="s">
        <v>69</v>
      </c>
      <c r="D248" s="20" t="s">
        <v>17</v>
      </c>
      <c r="E248" s="20">
        <v>100</v>
      </c>
      <c r="F248" s="20">
        <v>0.5</v>
      </c>
      <c r="G248" s="20">
        <v>4</v>
      </c>
      <c r="H248" s="21">
        <f t="shared" si="48"/>
        <v>25</v>
      </c>
      <c r="I248" s="22">
        <v>95.81</v>
      </c>
      <c r="J248" s="23">
        <f t="shared" si="49"/>
        <v>2395.25</v>
      </c>
      <c r="K248" s="24">
        <f t="shared" si="50"/>
        <v>700</v>
      </c>
      <c r="L248" s="20">
        <f t="shared" si="53"/>
        <v>950</v>
      </c>
      <c r="M248" s="23">
        <f t="shared" si="51"/>
        <v>4045.25</v>
      </c>
      <c r="O248" t="s">
        <v>19</v>
      </c>
      <c r="P248" t="s">
        <v>19</v>
      </c>
      <c r="Q248" t="s">
        <v>19</v>
      </c>
    </row>
    <row r="249" spans="1:17" ht="15.75">
      <c r="A249" s="59" t="s">
        <v>18</v>
      </c>
      <c r="B249" s="60"/>
      <c r="C249" s="60"/>
      <c r="D249" s="61"/>
      <c r="E249" s="25">
        <f>SUM(E189:E248)</f>
        <v>5904</v>
      </c>
      <c r="F249" s="25">
        <f>SUM(F189:F248)</f>
        <v>30</v>
      </c>
      <c r="G249" s="25" t="s">
        <v>19</v>
      </c>
      <c r="H249" s="25">
        <f>SUM(H189:H248)</f>
        <v>1476</v>
      </c>
      <c r="I249" s="25" t="s">
        <v>19</v>
      </c>
      <c r="J249" s="25">
        <f>SUM(J189:J248)</f>
        <v>141415.56000000006</v>
      </c>
      <c r="K249" s="25">
        <f>SUM(K189:K248)</f>
        <v>42000</v>
      </c>
      <c r="L249" s="25">
        <f>SUM(L189:L248)</f>
        <v>26600</v>
      </c>
      <c r="M249" s="25">
        <f>SUM(M189:M248)</f>
        <v>210015.56000000006</v>
      </c>
    </row>
    <row r="250" spans="1:17" ht="15" customHeight="1">
      <c r="A250" s="62" t="s">
        <v>20</v>
      </c>
      <c r="B250" s="62"/>
      <c r="C250" s="62"/>
      <c r="D250" s="62"/>
      <c r="E250" s="62"/>
      <c r="F250" s="62"/>
      <c r="G250" s="62"/>
      <c r="H250" s="63"/>
      <c r="I250" s="64"/>
      <c r="J250" s="64"/>
      <c r="K250" s="64"/>
      <c r="L250" s="64"/>
      <c r="M250" s="65"/>
    </row>
    <row r="251" spans="1:17" ht="91.5" customHeight="1">
      <c r="A251" s="62"/>
      <c r="B251" s="62"/>
      <c r="C251" s="62"/>
      <c r="D251" s="62"/>
      <c r="E251" s="62"/>
      <c r="F251" s="62"/>
      <c r="G251" s="62"/>
      <c r="H251" s="66" t="s">
        <v>21</v>
      </c>
      <c r="I251" s="67"/>
      <c r="J251" s="67"/>
      <c r="K251" s="67"/>
      <c r="L251" s="67"/>
      <c r="M251" s="68"/>
    </row>
    <row r="286" spans="10:10">
      <c r="J286" t="s">
        <v>19</v>
      </c>
    </row>
  </sheetData>
  <autoFilter ref="A143:R176"/>
  <mergeCells count="55">
    <mergeCell ref="A5:F5"/>
    <mergeCell ref="G5:M5"/>
    <mergeCell ref="A2:M2"/>
    <mergeCell ref="A3:G3"/>
    <mergeCell ref="H3:M3"/>
    <mergeCell ref="A4:F4"/>
    <mergeCell ref="G4:M4"/>
    <mergeCell ref="A90:G91"/>
    <mergeCell ref="H90:M90"/>
    <mergeCell ref="H91:M91"/>
    <mergeCell ref="A36:D36"/>
    <mergeCell ref="A37:G38"/>
    <mergeCell ref="H37:M37"/>
    <mergeCell ref="H38:M38"/>
    <mergeCell ref="A49:M49"/>
    <mergeCell ref="A50:G50"/>
    <mergeCell ref="H50:M50"/>
    <mergeCell ref="A51:F51"/>
    <mergeCell ref="G51:M51"/>
    <mergeCell ref="A52:F52"/>
    <mergeCell ref="G52:M52"/>
    <mergeCell ref="A89:D89"/>
    <mergeCell ref="A104:D104"/>
    <mergeCell ref="A105:G106"/>
    <mergeCell ref="H105:M105"/>
    <mergeCell ref="H106:M106"/>
    <mergeCell ref="A94:M94"/>
    <mergeCell ref="A95:F95"/>
    <mergeCell ref="G95:M95"/>
    <mergeCell ref="A96:F96"/>
    <mergeCell ref="G96:M96"/>
    <mergeCell ref="A97:F97"/>
    <mergeCell ref="G97:M97"/>
    <mergeCell ref="A139:M139"/>
    <mergeCell ref="A140:F140"/>
    <mergeCell ref="G140:M140"/>
    <mergeCell ref="A141:F141"/>
    <mergeCell ref="G141:M141"/>
    <mergeCell ref="A142:F142"/>
    <mergeCell ref="G142:M142"/>
    <mergeCell ref="A174:D174"/>
    <mergeCell ref="A175:G176"/>
    <mergeCell ref="H175:M175"/>
    <mergeCell ref="H176:M176"/>
    <mergeCell ref="A184:M184"/>
    <mergeCell ref="A185:F185"/>
    <mergeCell ref="G185:M185"/>
    <mergeCell ref="A186:F186"/>
    <mergeCell ref="G186:M186"/>
    <mergeCell ref="A187:F187"/>
    <mergeCell ref="G187:M187"/>
    <mergeCell ref="A249:D249"/>
    <mergeCell ref="A250:G251"/>
    <mergeCell ref="H250:M250"/>
    <mergeCell ref="H251:M251"/>
  </mergeCells>
  <pageMargins left="0.31" right="0.70866141732283472" top="0.35433070866141736" bottom="0.74803149606299213" header="0.31496062992125984" footer="0.31496062992125984"/>
  <pageSetup scale="85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sam</cp:lastModifiedBy>
  <cp:lastPrinted>2026-07-05T18:53:26Z</cp:lastPrinted>
  <dcterms:created xsi:type="dcterms:W3CDTF">2025-12-03T05:38:40Z</dcterms:created>
  <dcterms:modified xsi:type="dcterms:W3CDTF">2026-09-17T11:40:47Z</dcterms:modified>
</cp:coreProperties>
</file>